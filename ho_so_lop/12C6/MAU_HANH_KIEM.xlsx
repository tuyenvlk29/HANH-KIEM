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eduttc-my.sharepoint.com/personal/tuyenbn_igcschool_edu_vn/Documents/Desktop/HẠNH KIỂM THÁNG/THÁNG 9/THÁNG 9/Tiêu chí cộng điểm tháng 9 - C6/"/>
    </mc:Choice>
  </mc:AlternateContent>
  <xr:revisionPtr revIDLastSave="30" documentId="13_ncr:1_{F27B2B41-6496-4FAC-A2E8-C7FF84FE3696}" xr6:coauthVersionLast="47" xr6:coauthVersionMax="47" xr10:uidLastSave="{5436CFC1-B0DB-48E0-9BA6-E7C8BB4AE01A}"/>
  <bookViews>
    <workbookView xWindow="-108" yWindow="-108" windowWidth="23256" windowHeight="12576" firstSheet="1" activeTab="1" xr2:uid="{93FD1E89-5372-405B-B17E-826AFC6DAFE8}"/>
  </bookViews>
  <sheets>
    <sheet name="Tiêu chí HK tháng" sheetId="1" state="hidden" r:id="rId1"/>
    <sheet name="PHIẾU HK THÁNG 9"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3" i="4" l="1"/>
  <c r="I43" i="4" s="1"/>
  <c r="H44" i="4"/>
  <c r="I44" i="4" s="1"/>
  <c r="H45" i="4"/>
  <c r="I45" i="4" s="1"/>
  <c r="H46" i="4"/>
  <c r="I46" i="4" s="1"/>
  <c r="H47" i="4"/>
  <c r="I47" i="4" s="1"/>
  <c r="H3" i="4"/>
  <c r="H4" i="4"/>
  <c r="H5" i="4"/>
  <c r="H6" i="4"/>
  <c r="H7" i="4"/>
  <c r="H8" i="4"/>
  <c r="H9" i="4"/>
  <c r="H10" i="4"/>
  <c r="H11" i="4"/>
  <c r="H12" i="4"/>
  <c r="H13" i="4"/>
  <c r="H14" i="4"/>
  <c r="H15" i="4"/>
  <c r="H16" i="4"/>
  <c r="H17" i="4"/>
  <c r="H18" i="4"/>
  <c r="H19" i="4"/>
  <c r="H20" i="4"/>
  <c r="H21" i="4"/>
  <c r="H22" i="4"/>
  <c r="H23" i="4"/>
  <c r="I23" i="4" s="1"/>
  <c r="H24" i="4"/>
  <c r="H25" i="4"/>
  <c r="H26" i="4"/>
  <c r="H27" i="4"/>
  <c r="H28" i="4"/>
  <c r="H29" i="4"/>
  <c r="H30" i="4"/>
  <c r="H31" i="4"/>
  <c r="H32" i="4"/>
  <c r="H33" i="4"/>
  <c r="H34" i="4"/>
  <c r="H35" i="4"/>
  <c r="H36" i="4"/>
  <c r="H37" i="4"/>
  <c r="I37" i="4" s="1"/>
  <c r="H38" i="4"/>
  <c r="H39" i="4"/>
  <c r="H40" i="4"/>
  <c r="H41" i="4"/>
  <c r="H42" i="4"/>
  <c r="H2" i="4"/>
  <c r="I2" i="4" s="1"/>
  <c r="I19" i="4" l="1"/>
  <c r="I3" i="4" l="1"/>
  <c r="I4" i="4"/>
  <c r="I5" i="4"/>
  <c r="I6" i="4"/>
  <c r="I7" i="4"/>
  <c r="I8" i="4"/>
  <c r="I9" i="4"/>
  <c r="I10" i="4"/>
  <c r="I11" i="4"/>
  <c r="I12" i="4"/>
  <c r="I13" i="4"/>
  <c r="I14" i="4"/>
  <c r="I15" i="4"/>
  <c r="I16" i="4"/>
  <c r="I17" i="4"/>
  <c r="I18" i="4"/>
  <c r="I20" i="4"/>
  <c r="I21" i="4"/>
  <c r="I22" i="4"/>
  <c r="I24" i="4"/>
  <c r="I25" i="4"/>
  <c r="I26" i="4"/>
  <c r="I27" i="4"/>
  <c r="I28" i="4"/>
  <c r="I29" i="4"/>
  <c r="I30" i="4"/>
  <c r="I31" i="4"/>
  <c r="I32" i="4"/>
  <c r="I33" i="4"/>
  <c r="I34" i="4"/>
  <c r="I35" i="4"/>
  <c r="I36" i="4"/>
  <c r="I38" i="4"/>
  <c r="I39" i="4"/>
  <c r="I40" i="4"/>
  <c r="I41" i="4"/>
  <c r="I42" i="4"/>
</calcChain>
</file>

<file path=xl/sharedStrings.xml><?xml version="1.0" encoding="utf-8"?>
<sst xmlns="http://schemas.openxmlformats.org/spreadsheetml/2006/main" count="223" uniqueCount="175">
  <si>
    <t>Trường TH - THCS - THPT THÁI BÌNH DƯƠNG (IPS)</t>
  </si>
  <si>
    <t>TIÊU CHÍ XÉT HẠNH KIỂM THÁNG VỚI HỌC SINH TRUNG HỌC</t>
  </si>
  <si>
    <t>Điểm cộng trừ được thực hiện trên số điểm cơ bản là 80 điểm mà mỗi HS có trong tháng</t>
  </si>
  <si>
    <t>STT</t>
  </si>
  <si>
    <t xml:space="preserve">NỘI DUNG ĐIỂM CỘNG </t>
  </si>
  <si>
    <t>NỘI DUNG ĐIỂM TRỪ</t>
  </si>
  <si>
    <t>GHI CHÚ</t>
  </si>
  <si>
    <t>HS thực hiện tốt các nội dung dưới đây được cộng 0,25 điểm/lần</t>
  </si>
  <si>
    <t>HS vi phạm những lỗi dưới đây bị trừ 0,25 điểm/lần</t>
  </si>
  <si>
    <t>Thực hiện tốt việc học tập trong 1 tuần (không có vi phạm về mặt học tập, không bị ghi nhận, phê bình, nhắc nhở trong sổ đầu bài).</t>
  </si>
  <si>
    <t>Trang phục, tác phong: quần/áo/váy nhàu nát (không ủi), không phù hiệu, sai phù hiệu, không nơ/cà vạt, tóc không gọn gàng, nam sinh áo ngoài quần (đối với đồng phục chính khóa),…</t>
  </si>
  <si>
    <t>Thực hiện tốt tác phong, đồng phục trong 1 tuần.</t>
  </si>
  <si>
    <t>Chen hàng, không xếp hàng ở những sự kiện được yêu cầu.</t>
  </si>
  <si>
    <t>Thực hiện tốt mặt chuyên cần trong 1 tuần (không vắng, trễ, về sớm bao gồm việc thực hiện các tiết học chính khóa, luyện thi, ngoại khoá, tự chọn, câu lạc bộ, phụ đạo, đội tuyển, năng khiếu, thể thao ngoài giờ…).</t>
  </si>
  <si>
    <t>Vi phạm lỗi giờ đọc sách, giờ bán trú (giờ ăn trưa, giờ ngủ trưa)</t>
  </si>
  <si>
    <t>Có tham gia một hoạt động/phong trào của lớp (hoạt động/phong trào cụ thể).</t>
  </si>
  <si>
    <t>Học tập: quên sách, vở, dụng cụ học tâp; thực hiện sai quy trình lớp học do giáo viên/ nhân viên yêu cầu,…</t>
  </si>
  <si>
    <t>Tham gia cổ vũ cho một hoạt động phong trào, một vòng thi đấu văn nghệ, một buổi thi đấu thể thao của lớp.</t>
  </si>
  <si>
    <t>Nộp lại các giấy tờ trễ hạn (phiếu báo hạnh kiểm, phiếu điểm, phiếu xác nhận tham gia,...).</t>
  </si>
  <si>
    <t>Mang đồ ăn, thức uống vào lớp học (trừ bình nước cá nhân).</t>
  </si>
  <si>
    <t>Ăn không đúng nơi quy định (trên hành lang, trong lớp học…).</t>
  </si>
  <si>
    <t>Nói leo trong giờ học.</t>
  </si>
  <si>
    <t>HS thực hiện tốt các nội dung dưới đây được cộng 0,5 điểm/lần</t>
  </si>
  <si>
    <t>HS vi phạm những điều sau bị trừ 0,5 điểm/lần</t>
  </si>
  <si>
    <t>Có tiến bộ vượt bậc trong tuần, được xác nhận bởi nhiều thầy cô (trong sổ đầu bài, biểu hiện trong các hoạt động ở trường,…).</t>
  </si>
  <si>
    <t>Vào lớp trễ (chính khóa và ngoại khóa) trong thời gian dưới 5 phút.</t>
  </si>
  <si>
    <t>Giờ ngoại khóa bao gồm lớp ngoại khoá, tự chọn, câu lạc bộ, phụ đạo, đội tuyển, tham gia chuyên đề, năng khiếu…</t>
  </si>
  <si>
    <t>Tự giác nhặt rác, tự giác dọn vệ sinh phòng học.</t>
  </si>
  <si>
    <t>Vào trễ giờ đọc sách, giờ nghỉ trưa, giờ chào cờ (dưới 5 phút).</t>
  </si>
  <si>
    <t>Chủ động giúp đỡ bạn trong học tập bằng những hành động cụ thể.</t>
  </si>
  <si>
    <t>Làm việc riêng giờ đọc sách.</t>
  </si>
  <si>
    <t>Hoàn thành tốt nhiệm vụ của lớp được phân công, chỉ định trong tháng, được đánh giá cụ thể bởi giáo chủ nhiệm, giáo viên bộ môn hoặc giáo viên/ nhân viên phụ trách.</t>
  </si>
  <si>
    <t>Nói chuyện, đọc sách, làm bài,… giờ nghỉ trưa.</t>
  </si>
  <si>
    <t>Hoàn thành nhiệm vụ cán sự trong tháng, được đánh giá cụ thể bởi giáo chủ nhiệm, giáo viên bộ môn hoặc giáo viên/ nhân viên phụ trách.</t>
  </si>
  <si>
    <t>Chưa làm bài tập đầy đủ.</t>
  </si>
  <si>
    <t>Nói chuyện riêng trong giờ học.</t>
  </si>
  <si>
    <t>Không chú ý, không tập trung trong giờ học.</t>
  </si>
  <si>
    <t>Chạy nhảy, chơi bóng trên hành lang.</t>
  </si>
  <si>
    <t>Ăn trong giờ học.</t>
  </si>
  <si>
    <t>Nói lớn tiếng, đùa giỡn mất trật tự trên hành lang, trên sảnh.</t>
  </si>
  <si>
    <t>Đùa giỡn với tài sản của người khác, giấu đồ dùng cá nhân của bạn.</t>
  </si>
  <si>
    <t>Né tránh các nhiệm vụ của lớp khi được phân công.</t>
  </si>
  <si>
    <t>HS thực hiện tốt các nội dung dưới đây được cộng 1 điểm/lần</t>
  </si>
  <si>
    <t>HS vi phạm những điều sau đây bị trừ 1 điểm/lần</t>
  </si>
  <si>
    <t>Phối hợp tốt với bạn trong phong trào “đôi bạn cùng tiến”, dẫn đến hiệu quả tích cực, tiến bộ vượt bậc trong một giai đoạn nhất định.</t>
  </si>
  <si>
    <t>Đi học trễ.</t>
  </si>
  <si>
    <t>Xây dựng kế hoạch, tổ chức/hướng dẫn và thực hiện hoạt động phong trào/văn nghệ/thể thao của lớp.</t>
  </si>
  <si>
    <t>Vào trễ giờ nghỉ trưa, giờ chính khóa, ngoại khóa (từ 5 đến dưới 15 phút).</t>
  </si>
  <si>
    <t>Tự giác nhặt rác ở các khu vực công cộng, biết nhắc nhở và có ảnh hưởng tích cực đến việc bảo vệ môi trường và mỹ quan nơi công cộng.</t>
  </si>
  <si>
    <t xml:space="preserve">Vắng mặt hoặc không chú ý lắng nghe khi điểm danh giờ tự chọn, câu lạc bộ, phụ đạo, đội tuyển… </t>
  </si>
  <si>
    <t>Đại diện trường tham gia các hoạt động phong trào và có biểu hiện tốt.</t>
  </si>
  <si>
    <t>Không học bài, không làm bài, không nộp bài đúng hạn.</t>
  </si>
  <si>
    <t>Hoàn thành tốt nhiệm vụ cán sự trong tháng.</t>
  </si>
  <si>
    <t>Thực hiện sai nội quy làm bài kiểm tra tập trung: quên ghi/ghi sai thông tin cá nhân, số báo danh,…</t>
  </si>
  <si>
    <t>Có lời nói và hành động thiết thực tác động tích cực đến tập thể.</t>
  </si>
  <si>
    <t>Đem điện thoại và thiết bị điện tử đến trường khi chưa được sự cho phép.</t>
  </si>
  <si>
    <r>
      <t>§</t>
    </r>
    <r>
      <rPr>
        <sz val="7"/>
        <color theme="1"/>
        <rFont val="Times New Roman"/>
        <family val="1"/>
      </rPr>
      <t xml:space="preserve">  </t>
    </r>
    <r>
      <rPr>
        <sz val="13"/>
        <color theme="1"/>
        <rFont val="Times New Roman"/>
        <family val="1"/>
      </rPr>
      <t>Có ý kiến xác đáng hoặc hành động cụ thể, thiết thực gây tác dụng tích cực đến tập thể.</t>
    </r>
  </si>
  <si>
    <t>Thái độ, hành vi, lời nói không đúng đắn, tùy tiện khi giao tiếp với người khác.</t>
  </si>
  <si>
    <t>Có lời nói khiếm nhã, bất lịch sự khi giao tiếp trên mạng xã hội.</t>
  </si>
  <si>
    <t>Không tôn trọng trật tự tập thể khi tham gia sinh hoạt chung trong hội trường, trên sân cờ,…</t>
  </si>
  <si>
    <t>Trang phục, tác phong, đầu tóc không đúng với nội quy nhà trường: sai đồng phục, đầu tóc phản cảm, dùng keo tóc, tô son, trang điểm, sơn móng tay, nữ sinh xắn váy, cắt váy, mặc váy trên gối, nữ sinh mang từ 2 khuyên trở lên trên1 tai; nam sinh đeo khuyên/ cắt tóc phản cảm/ tự chỉnh sửa trang phục…</t>
  </si>
  <si>
    <t>HS vi phạm phải khắc phục các lỗi</t>
  </si>
  <si>
    <t>Thiếu dụng cụ, mặc sai trang phục giờ thể dục.</t>
  </si>
  <si>
    <t xml:space="preserve">Xả rác, bỏ rác không đúng nơi quy định. </t>
  </si>
  <si>
    <t>Nhặt được của rơi không khai báo, lấy làm của riêng.</t>
  </si>
  <si>
    <t>Không tuân thủ quy định sử dụng các thiết bị trong trường (tự ý sử dụng thang máy/ sử dụng thang máy sai quy định, tự ý làm thay đổi vị trí đồ đạc ở phòng người khác…).</t>
  </si>
  <si>
    <t>Không tôn trọng tài sản nhà trường (ngồi ghế 2 chân, vẽ bậy lên bàn, ghế, sàn phòng học, đá cửa ra vào,....).</t>
  </si>
  <si>
    <t>Phải đền bù giá trị vật chất đã làm hư hỏng</t>
  </si>
  <si>
    <t>Làm mất sách thư viện, mất sách của lớp, các tài sản giá trị thấp của lớp.</t>
  </si>
  <si>
    <t>HS thực hiện tốt các nội dung dưới đây được cộng 2 điểm/lần</t>
  </si>
  <si>
    <t>HS vi phạm những điều dưới đây bị trừ 2 điểm/lần</t>
  </si>
  <si>
    <t>Cán bộ lớp có trách nhiệm và có những biểu hiện xuất sắc, ảnh hưởng tích cực và giúp tập thể tiến bộ rõ rệt.</t>
  </si>
  <si>
    <t>Nghỉ học không phép.</t>
  </si>
  <si>
    <t>Xuất sắc trong việc lãnh đạo tập thể đạt được thành tích tốt.</t>
  </si>
  <si>
    <t>Vắng không phép các hoạt động học tập dã ngoại và các hoạt động khác của trường.</t>
  </si>
  <si>
    <t>Chủ động phát hiện vấn đề của trường, lớp, đồng thời đưa ra những ý kiến và giải pháp tích cực để giải quyết vấn đề. Có kết quả được công nhận cụ thể.</t>
  </si>
  <si>
    <t>Trốn giờ đọc sách.</t>
  </si>
  <si>
    <t>Mạnh dạn đấu tranh chống tiêu cực trong tập thể.</t>
  </si>
  <si>
    <t>Vào trễ giờ nghỉ trưa, giờ chính khóa, ngoại khóa, chào cờ (từ 15 đến dưới 30 phút).</t>
  </si>
  <si>
    <t>Đại diện nhà trường tham gia các hoạt động phong trào và mang danh dự về cho nhà trường.</t>
  </si>
  <si>
    <t>Bị nhắc nhở, cảnh cáo trong phòng thi vì các lỗi mất trật tự, gây ồn, không giữ vệ sinh phòng thi…</t>
  </si>
  <si>
    <t>Đạt được thành tích xuất sắc làm rạng danh nhà trường.</t>
  </si>
  <si>
    <t>Nhuộm tóc, để những kiểu tóc gây phản cảm (đã được nhắc nhở vẫn tái phạm).</t>
  </si>
  <si>
    <t>Gây rối trật tự trong tập thể.</t>
  </si>
  <si>
    <t>Phá hoại tài sản chung và riêng của người khác.</t>
  </si>
  <si>
    <t>Đem thú vật vào trường.</t>
  </si>
  <si>
    <t>Ra vào trường không đúng quy định (không xin giấy ra vào).</t>
  </si>
  <si>
    <t>Sử dụng điện thoại, các thiết bị điện tử khác khi chưa được phép dưới bất kỳ hình thức nào trong thời gian ngày học.</t>
  </si>
  <si>
    <t>Tự ý dùng máy tính, tự ý lục tủ, lấy đồ trên bàn của giáo viên, nhân viên.</t>
  </si>
  <si>
    <t>Mang sách báo, hình ảnh hoặc file điện tử văn hoá phẩm đồi truỵ, không có lợi cho sự phát triển tâm sinh lý đến trường.</t>
  </si>
  <si>
    <t>Sử dụng mạng internet, điện thoại di động và các thiết bị điện tử khác sai mục đích hoặc lan truyền tin nhắn không đúng sự thật, công kích người khác.</t>
  </si>
  <si>
    <t>Cán bộ lớp chưa hoàn thành nhiệm vụ gây ảnh hưởng đến tập thể.</t>
  </si>
  <si>
    <t>HS được tuyên dương những điều dưới đây được cộng 3 điểm/lần</t>
  </si>
  <si>
    <t>HS vi phạm những điều dưới đây bị trừ 3 điểm/lần</t>
  </si>
  <si>
    <t>Đưa ra những sáng kiến, giải pháp hay, có những hành động thiết thực hiệu quả nhằm giải quyết kịp thời một vấn đề cấp bách.</t>
  </si>
  <si>
    <t>Nói tục, chửi thề.</t>
  </si>
  <si>
    <t>Có những hành động, cử chỉ tốt đẹp, thể hiện được tinh thần yêu mến bạn bè và làm vinh danh cho nhà trường, là tấm gương cho HS toàn trường noi theo.</t>
  </si>
  <si>
    <t>Có hành vi lấy khuyết điểm của bạn làm trò đùa, gây mất đoàn kết.</t>
  </si>
  <si>
    <t>Có những biểu hiện và hành động thiết thực như thường xuyên giúp đỡ người khác, tham gia các phong trào phục vụ lợi ích cộng đồng.</t>
  </si>
  <si>
    <t xml:space="preserve">Vào trễ giờ nghỉ trưa, giờ chính khóa, giờ chính khóa, ngoại khóa từ 30 phút đến trước giờ kết thúc. </t>
  </si>
  <si>
    <t>Trang phục, đầu tóc sai qui định, sau nhiều lần nhắc nhở và giáo dục vẫn không sửa đổi.</t>
  </si>
  <si>
    <t>Nhìn bài, trao đổi bài với thí sinh khác, làm bài thi trước hiệu lệnh hoặc sau khi hết giờ làm bài trong giờ thi, kiểm tra.</t>
  </si>
  <si>
    <t>Sao chép những tác phẩm, tài liệu, vi phạm bản quyền trí tuệ ở mức độ nhẹ.</t>
  </si>
  <si>
    <r>
      <t>HS</t>
    </r>
    <r>
      <rPr>
        <b/>
        <sz val="13"/>
        <color rgb="FF000000"/>
        <rFont val="Times New Roman"/>
        <family val="1"/>
      </rPr>
      <t xml:space="preserve"> được tuyên dương những điều dưới đây được cộng 4 điểm/lần</t>
    </r>
  </si>
  <si>
    <t>HS vi phạm những điều dưới đây bị trừ 4 điểm/lần</t>
  </si>
  <si>
    <t>Có những hành động dũng cảm được mọi người công nhận.</t>
  </si>
  <si>
    <t>Trốn giờ nghỉ trưa, trốn giờ chính khóa, ngoại khóa</t>
  </si>
  <si>
    <t>Đạt thành tích xuất sắc khi đại diện trường tham gia các phong trào thi đua cấp quốc gia và quốc tế.</t>
  </si>
  <si>
    <t>Có thái độ hống hách, vô lễ, không đúng mực với người lớn.</t>
  </si>
  <si>
    <t>Không tôn trọng bạn học, ức hiếp, chia rẽ, có hành vi xúc phạm người khác.</t>
  </si>
  <si>
    <t xml:space="preserve">Có hành vi không trung thực, lừa dối nhưng chưa gây hậu quả nghiêm trọng. </t>
  </si>
  <si>
    <t>Vi phạm lần 2 các lỗi: nhìn bài, trao đổi bài với thí sinh khác, làm bài thi trước hiệu lệnh hoặc sau khi hết giờ làm bài trong giờ thi, kiểm tra.</t>
  </si>
  <si>
    <t>Chơi bài dưới mọi hình thức.</t>
  </si>
  <si>
    <t>Tự ý sửa nội dung các tài liệu, sổ sách của nhà trường.</t>
  </si>
  <si>
    <t>Một số lưu ý cộng/ trừ điểm khác</t>
  </si>
  <si>
    <t>Với các trường hợp HS có hành vi nhặt được của rơi trả lại người mất, việc tuyên dương khen ngợi hay cộng điểm hành vi sẽ được quyết định tùy thuộc vào từng tình huống cụ thể.</t>
  </si>
  <si>
    <t>Ngoài các tiêu chí cộng điểm được liệt kê trên, các hành vi tốt không được liệt kê sẽ được GVCN hay các bộ phận liên quan (các bộ phận làm việc trực tiếp với HS) xem xét và quyết định tùy thuộc vào từng tình huống cụ thể.</t>
  </si>
  <si>
    <t xml:space="preserve">Ngoài nội dung cộng điểm được quy định trong sổ tay HS, HS còn được đề nghị điểm cộng từ các bộ phận trong nhà trường khi tự nguyện hoặc được chỉ định tham gia các công việc, sự kiện trong trường (ví dụ: trực sao đỏ, lễ tân, nhân sự hỗ trợ thư viện, thành viên hỗ trợ tổ chức các sự kiện,…). Sự kiện diễn ra trong thời gian nào thì HS sẽ được đề nghị cộng điểm trong trong tháng đó. </t>
  </si>
  <si>
    <t>Mỗi tháng, các bộ phận trong nhà trường có thực hiện các công việc liên quan đến HS sẽ gửi GVCN danh sách HS được đề nghị cộng điểm/ trừ điểm với những mức điểm phù hợp nhất định. GVCN và quản sinh sẽ cân nhắc và đưa vào hệ thống điểm của HS trong từng tháng.</t>
  </si>
  <si>
    <t>HỌ VÀ TÊN HỌC SINH</t>
  </si>
  <si>
    <t>LỚP</t>
  </si>
  <si>
    <t>BIỂU HIỆN TÍCH CỰC</t>
  </si>
  <si>
    <t>ĐIỂM CỘNG</t>
  </si>
  <si>
    <t>HÀNH VI CẦN CẢI THIỆN</t>
  </si>
  <si>
    <t>ĐIỂM TRỪ</t>
  </si>
  <si>
    <t>TỔNG ĐIỂM</t>
  </si>
  <si>
    <t>XẾP LOẠI</t>
  </si>
  <si>
    <t>NHẬN XÉT</t>
  </si>
  <si>
    <t>Nguyễn Thanh Ngọc</t>
  </si>
  <si>
    <t>Đỗ Việt Anh</t>
  </si>
  <si>
    <t>12C06</t>
  </si>
  <si>
    <t>Lê Vân Anh</t>
  </si>
  <si>
    <t>Nguyễn Hải Anh</t>
  </si>
  <si>
    <t>Võ Hoàng Ngọc Bích</t>
  </si>
  <si>
    <t>Phạm Đức Hải Đăng</t>
  </si>
  <si>
    <t>Nguyễn Minh Đức</t>
  </si>
  <si>
    <t>Nguyễn Chí Dũng</t>
  </si>
  <si>
    <t>Vũ Minh Hải</t>
  </si>
  <si>
    <t>Hoàng Đặng Gia Huy</t>
  </si>
  <si>
    <t>Lương Nguyễn Đức Huy</t>
  </si>
  <si>
    <t>Nguyễn Văn Huy</t>
  </si>
  <si>
    <t>Bạch Phan Thu Huyền</t>
  </si>
  <si>
    <t>Vũ Khánh Huyền</t>
  </si>
  <si>
    <t>Châu Lê Quốc Khánh</t>
  </si>
  <si>
    <t>Nguyễn Minh Khánh</t>
  </si>
  <si>
    <t>Nguyễn Thùy Linh</t>
  </si>
  <si>
    <t>Nguyễn Huỳnh Xuân My</t>
  </si>
  <si>
    <t>Võ Ngọc Khánh My</t>
  </si>
  <si>
    <t>Dương Gia Nghĩa</t>
  </si>
  <si>
    <t>Nguyễn Thùy Bảo Ngọc</t>
  </si>
  <si>
    <t>Phạm Yến Nhi</t>
  </si>
  <si>
    <t>Nguyễn Hoàng Phát</t>
  </si>
  <si>
    <t>Nguyễn Hồng Phúc</t>
  </si>
  <si>
    <t>Trần Minh Tài</t>
  </si>
  <si>
    <t>Phạm Hoàng Thiên Tâm</t>
  </si>
  <si>
    <t>Nguyễn Đỗ Duy Tân</t>
  </si>
  <si>
    <t>Đặng Chí Thành</t>
  </si>
  <si>
    <t>Đinh Trần Hiếu Thảo</t>
  </si>
  <si>
    <t>Dương Nguyễn Bảo Thi</t>
  </si>
  <si>
    <t>Đào Anh Thơ</t>
  </si>
  <si>
    <t>Vũ Hoàng Anh Thư</t>
  </si>
  <si>
    <t>Hoàng Phương Thúy</t>
  </si>
  <si>
    <t>Nguyễn Thanh Thúy</t>
  </si>
  <si>
    <t>Huỳnh Đức Tín</t>
  </si>
  <si>
    <t>Lê Ngọc Trâm</t>
  </si>
  <si>
    <t>Trương Lê Thùy Trâm</t>
  </si>
  <si>
    <t>Trương Lê Trung Trí</t>
  </si>
  <si>
    <t>Đổng Nguyễn Thanh Trọng</t>
  </si>
  <si>
    <t>Võ Đức Thanh Tùng</t>
  </si>
  <si>
    <t>Võ Trần Bảo Uyên</t>
  </si>
  <si>
    <t>Tôn Nguyễn Yến Vân</t>
  </si>
  <si>
    <t>Võ Hoàng Lê Vi</t>
  </si>
  <si>
    <t>Nguyễn Đình Khánh Vương</t>
  </si>
  <si>
    <t>Nguyễn Hoàng Thảo Vy</t>
  </si>
  <si>
    <t>Phạm Ngọc Quỳnh Vy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</si>
</sst>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Calibri"/>
      <family val="2"/>
      <scheme val="minor"/>
    </font>
    <font>
      <sz val="13"/>
      <color theme="1"/>
      <name val="Times New Roman"/>
      <family val="1"/>
    </font>
    <font>
      <b/>
      <sz val="14"/>
      <color theme="1"/>
      <name val="Times Roman"/>
    </font>
    <font>
      <sz val="14"/>
      <color theme="1"/>
      <name val="Times Roman"/>
    </font>
    <font>
      <b/>
      <sz val="18"/>
      <color theme="1"/>
      <name val="Times Roman"/>
    </font>
    <font>
      <b/>
      <sz val="13"/>
      <color theme="1"/>
      <name val="Times New Roman"/>
      <family val="1"/>
    </font>
    <font>
      <sz val="13"/>
      <color theme="1"/>
      <name val="Wingdings"/>
      <charset val="2"/>
    </font>
    <font>
      <sz val="7"/>
      <color theme="1"/>
      <name val="Times New Roman"/>
      <family val="1"/>
    </font>
    <font>
      <b/>
      <sz val="13"/>
      <color rgb="FF000000"/>
      <name val="Times New Roman"/>
      <family val="1"/>
    </font>
    <font>
      <b/>
      <sz val="12"/>
      <color theme="1"/>
      <name val="Times Roman"/>
    </font>
    <font>
      <sz val="12"/>
      <color theme="1"/>
      <name val="Times Roman"/>
    </font>
    <font>
      <sz val="8"/>
      <name val="Calibri"/>
      <family val="2"/>
      <scheme val="minor"/>
    </font>
    <font>
      <sz val="13"/>
      <color rgb="FF000000"/>
      <name val="Times Roman"/>
    </font>
    <font>
      <sz val="13"/>
      <color theme="1"/>
      <name val="Times Roman"/>
    </font>
    <font>
      <sz val="14"/>
      <color rgb="FF000000"/>
      <name val="Times Roman"/>
    </font>
  </fonts>
  <fills count="5">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0" tint="-0.14999847407452621"/>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diagonal/>
    </border>
  </borders>
  <cellStyleXfs count="1">
    <xf numFmtId="0" fontId="0" fillId="0" borderId="0"/>
  </cellStyleXfs>
  <cellXfs count="56">
    <xf numFmtId="0" fontId="0" fillId="0" borderId="0" xfId="0"/>
    <xf numFmtId="0" fontId="2" fillId="0" borderId="1" xfId="0" applyFont="1" applyBorder="1" applyAlignment="1">
      <alignment horizontal="center" vertical="center"/>
    </xf>
    <xf numFmtId="0" fontId="3" fillId="0" borderId="0" xfId="0" applyFont="1"/>
    <xf numFmtId="0" fontId="3" fillId="0" borderId="1" xfId="0" applyFont="1" applyBorder="1"/>
    <xf numFmtId="0" fontId="3" fillId="0" borderId="1" xfId="0" applyFont="1" applyBorder="1" applyAlignment="1">
      <alignment vertical="center" wrapText="1"/>
    </xf>
    <xf numFmtId="0" fontId="3" fillId="0" borderId="1" xfId="0" applyFont="1" applyBorder="1" applyAlignment="1">
      <alignment wrapText="1"/>
    </xf>
    <xf numFmtId="0" fontId="6" fillId="0" borderId="1" xfId="0" applyFont="1" applyBorder="1" applyAlignment="1">
      <alignment horizontal="justify" vertical="center"/>
    </xf>
    <xf numFmtId="0" fontId="1" fillId="0" borderId="1" xfId="0" applyFont="1" applyBorder="1"/>
    <xf numFmtId="0" fontId="2" fillId="0" borderId="0" xfId="0" applyFont="1"/>
    <xf numFmtId="0" fontId="4" fillId="0" borderId="0" xfId="0" applyFont="1"/>
    <xf numFmtId="0" fontId="2" fillId="3" borderId="1" xfId="0" applyFont="1" applyFill="1" applyBorder="1" applyAlignment="1">
      <alignment horizontal="center" vertical="center"/>
    </xf>
    <xf numFmtId="0" fontId="5" fillId="3" borderId="1" xfId="0" applyFont="1" applyFill="1" applyBorder="1" applyAlignment="1">
      <alignment wrapText="1"/>
    </xf>
    <xf numFmtId="0" fontId="5" fillId="3" borderId="1" xfId="0" applyFont="1" applyFill="1" applyBorder="1" applyAlignment="1">
      <alignment horizontal="justify" vertical="center"/>
    </xf>
    <xf numFmtId="0" fontId="3" fillId="3" borderId="1" xfId="0" applyFont="1" applyFill="1" applyBorder="1"/>
    <xf numFmtId="0" fontId="5" fillId="3" borderId="1" xfId="0" applyFont="1" applyFill="1" applyBorder="1" applyAlignment="1">
      <alignment vertical="center"/>
    </xf>
    <xf numFmtId="0" fontId="2" fillId="3"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2" fillId="0" borderId="0" xfId="0" applyFont="1" applyAlignment="1">
      <alignment horizontal="center" vertical="center"/>
    </xf>
    <xf numFmtId="2" fontId="2" fillId="0" borderId="1" xfId="0" applyNumberFormat="1" applyFont="1" applyBorder="1" applyAlignment="1">
      <alignment horizontal="center" vertical="center"/>
    </xf>
    <xf numFmtId="0" fontId="3" fillId="4" borderId="1" xfId="0" applyFont="1" applyFill="1" applyBorder="1"/>
    <xf numFmtId="164" fontId="2" fillId="0" borderId="1" xfId="0" applyNumberFormat="1" applyFont="1" applyBorder="1" applyAlignment="1">
      <alignment horizontal="center" vertical="center"/>
    </xf>
    <xf numFmtId="0" fontId="6" fillId="4" borderId="1" xfId="0" applyFont="1" applyFill="1" applyBorder="1" applyAlignment="1">
      <alignment horizontal="justify" vertical="center"/>
    </xf>
    <xf numFmtId="0" fontId="5" fillId="3" borderId="2" xfId="0" applyFont="1" applyFill="1" applyBorder="1" applyAlignment="1">
      <alignment vertical="center"/>
    </xf>
    <xf numFmtId="0" fontId="5" fillId="3" borderId="3" xfId="0" applyFont="1" applyFill="1" applyBorder="1" applyAlignment="1">
      <alignment vertical="center"/>
    </xf>
    <xf numFmtId="0" fontId="3" fillId="0" borderId="6" xfId="0" applyFont="1" applyBorder="1"/>
    <xf numFmtId="0" fontId="1" fillId="0" borderId="1" xfId="0" applyFont="1" applyBorder="1" applyAlignment="1">
      <alignment horizontal="justify" vertical="center"/>
    </xf>
    <xf numFmtId="0" fontId="2" fillId="0" borderId="0" xfId="0" applyFont="1" applyAlignment="1">
      <alignment vertical="top"/>
    </xf>
    <xf numFmtId="0" fontId="1" fillId="0" borderId="0" xfId="0" applyFont="1" applyAlignment="1">
      <alignment horizontal="justify" vertic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10" fillId="0" borderId="0" xfId="0" applyFont="1"/>
    <xf numFmtId="0" fontId="3" fillId="0" borderId="1" xfId="0" applyFont="1" applyBorder="1" applyAlignment="1">
      <alignment horizontal="center" vertical="top"/>
    </xf>
    <xf numFmtId="0" fontId="12" fillId="0" borderId="1" xfId="0" applyFont="1" applyBorder="1" applyAlignment="1">
      <alignment horizontal="left" vertical="center"/>
    </xf>
    <xf numFmtId="0" fontId="13" fillId="0" borderId="1" xfId="0" applyFont="1" applyBorder="1" applyAlignment="1">
      <alignment horizontal="center" vertical="center"/>
    </xf>
    <xf numFmtId="0" fontId="13" fillId="0" borderId="1" xfId="0" quotePrefix="1" applyFont="1" applyBorder="1" applyAlignment="1">
      <alignment horizontal="justify" vertical="top" wrapText="1"/>
    </xf>
    <xf numFmtId="0" fontId="14" fillId="0" borderId="0" xfId="0" applyFont="1" applyAlignment="1">
      <alignment wrapText="1"/>
    </xf>
    <xf numFmtId="0" fontId="3" fillId="0" borderId="1" xfId="0" quotePrefix="1" applyFont="1" applyBorder="1" applyAlignment="1">
      <alignment vertical="top" wrapText="1"/>
    </xf>
    <xf numFmtId="0" fontId="3" fillId="0" borderId="0" xfId="0" applyFont="1" applyAlignment="1">
      <alignment vertical="top"/>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quotePrefix="1" applyFont="1" applyBorder="1" applyAlignment="1">
      <alignment wrapText="1"/>
    </xf>
    <xf numFmtId="0" fontId="14" fillId="0" borderId="0" xfId="0" applyFont="1"/>
    <xf numFmtId="0" fontId="3" fillId="0" borderId="1" xfId="0" applyFont="1" applyBorder="1" applyAlignment="1">
      <alignment horizontal="left" vertical="center" wrapText="1"/>
    </xf>
    <xf numFmtId="0" fontId="14" fillId="0" borderId="1" xfId="0" applyFont="1" applyBorder="1"/>
    <xf numFmtId="0" fontId="3" fillId="0" borderId="0" xfId="0" applyFont="1" applyAlignment="1">
      <alignment horizontal="center" vertical="center"/>
    </xf>
    <xf numFmtId="0" fontId="9" fillId="0" borderId="1" xfId="0" applyFont="1" applyBorder="1" applyAlignment="1">
      <alignment horizontal="center" vertical="top"/>
    </xf>
    <xf numFmtId="0" fontId="3" fillId="0" borderId="0" xfId="0" applyFont="1" applyAlignment="1">
      <alignment vertical="center"/>
    </xf>
    <xf numFmtId="0" fontId="13" fillId="0" borderId="1" xfId="0" quotePrefix="1" applyFont="1" applyBorder="1" applyAlignment="1">
      <alignment horizontal="left" vertical="top" wrapText="1"/>
    </xf>
    <xf numFmtId="0" fontId="14" fillId="0" borderId="0" xfId="0" quotePrefix="1" applyFont="1" applyAlignment="1">
      <alignment vertical="center" wrapText="1"/>
    </xf>
    <xf numFmtId="0" fontId="4" fillId="0" borderId="0" xfId="0" applyFont="1" applyAlignment="1">
      <alignment horizontal="center"/>
    </xf>
    <xf numFmtId="0" fontId="1" fillId="0" borderId="4" xfId="0" applyFont="1" applyBorder="1" applyAlignment="1">
      <alignment vertical="top" wrapText="1"/>
    </xf>
    <xf numFmtId="0" fontId="6" fillId="0" borderId="5" xfId="0" applyFont="1" applyBorder="1" applyAlignment="1">
      <alignment vertical="top" wrapText="1"/>
    </xf>
    <xf numFmtId="0" fontId="1" fillId="0" borderId="4" xfId="0" applyFont="1" applyBorder="1" applyAlignment="1">
      <alignment vertical="center" wrapText="1"/>
    </xf>
    <xf numFmtId="0" fontId="6" fillId="0" borderId="5" xfId="0" applyFont="1" applyBorder="1" applyAlignment="1">
      <alignment vertical="center" wrapText="1"/>
    </xf>
    <xf numFmtId="0" fontId="2" fillId="2" borderId="0" xfId="0" applyFont="1" applyFill="1" applyAlignment="1">
      <alignment horizontal="center"/>
    </xf>
  </cellXfs>
  <cellStyles count="1">
    <cellStyle name="Normal" xfId="0" builtinId="0"/>
  </cellStyles>
  <dxfs count="3">
    <dxf>
      <font>
        <color auto="1"/>
      </font>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6B2F9-DC82-417C-8EBA-7E5774B8AE3D}">
  <dimension ref="A1:F79"/>
  <sheetViews>
    <sheetView workbookViewId="0">
      <selection activeCell="F8" sqref="F8"/>
    </sheetView>
  </sheetViews>
  <sheetFormatPr defaultColWidth="8.6640625" defaultRowHeight="18"/>
  <cols>
    <col min="1" max="1" width="8.6640625" style="18"/>
    <col min="2" max="2" width="54.6640625" style="2" customWidth="1"/>
    <col min="3" max="3" width="60.88671875" style="2" customWidth="1"/>
    <col min="4" max="4" width="34.6640625" style="2" customWidth="1"/>
    <col min="5" max="16384" width="8.6640625" style="2"/>
  </cols>
  <sheetData>
    <row r="1" spans="1:6" ht="22.8">
      <c r="A1" s="27" t="s">
        <v>0</v>
      </c>
      <c r="B1" s="9"/>
      <c r="C1" s="9"/>
      <c r="D1" s="9"/>
    </row>
    <row r="2" spans="1:6" ht="22.8">
      <c r="A2" s="50" t="s">
        <v>1</v>
      </c>
      <c r="B2" s="50"/>
      <c r="C2" s="50"/>
      <c r="D2" s="50"/>
      <c r="E2" s="8"/>
      <c r="F2" s="8"/>
    </row>
    <row r="3" spans="1:6">
      <c r="A3" s="55" t="s">
        <v>2</v>
      </c>
      <c r="B3" s="55"/>
      <c r="C3" s="55"/>
      <c r="D3" s="55"/>
    </row>
    <row r="4" spans="1:6" ht="24" customHeight="1">
      <c r="A4" s="10" t="s">
        <v>3</v>
      </c>
      <c r="B4" s="10" t="s">
        <v>4</v>
      </c>
      <c r="C4" s="10" t="s">
        <v>5</v>
      </c>
      <c r="D4" s="10" t="s">
        <v>6</v>
      </c>
    </row>
    <row r="5" spans="1:6" ht="34.200000000000003">
      <c r="A5" s="10">
        <v>1</v>
      </c>
      <c r="B5" s="11" t="s">
        <v>7</v>
      </c>
      <c r="C5" s="12" t="s">
        <v>8</v>
      </c>
      <c r="D5" s="10"/>
    </row>
    <row r="6" spans="1:6" ht="67.2">
      <c r="A6" s="1">
        <v>1.1000000000000001</v>
      </c>
      <c r="B6" s="26" t="s">
        <v>9</v>
      </c>
      <c r="C6" s="26" t="s">
        <v>10</v>
      </c>
      <c r="D6" s="1"/>
    </row>
    <row r="7" spans="1:6">
      <c r="A7" s="1">
        <v>1.2</v>
      </c>
      <c r="B7" s="26" t="s">
        <v>11</v>
      </c>
      <c r="C7" s="26" t="s">
        <v>12</v>
      </c>
      <c r="D7" s="1"/>
    </row>
    <row r="8" spans="1:6" ht="84">
      <c r="A8" s="1">
        <v>1.3</v>
      </c>
      <c r="B8" s="26" t="s">
        <v>13</v>
      </c>
      <c r="C8" s="26" t="s">
        <v>14</v>
      </c>
      <c r="D8" s="1"/>
    </row>
    <row r="9" spans="1:6" ht="33.6">
      <c r="A9" s="1">
        <v>1.4</v>
      </c>
      <c r="B9" s="26" t="s">
        <v>15</v>
      </c>
      <c r="C9" s="26" t="s">
        <v>16</v>
      </c>
      <c r="D9" s="1"/>
    </row>
    <row r="10" spans="1:6" ht="50.4">
      <c r="A10" s="1">
        <v>1.5</v>
      </c>
      <c r="B10" s="26" t="s">
        <v>17</v>
      </c>
      <c r="C10" s="26" t="s">
        <v>18</v>
      </c>
      <c r="D10" s="1"/>
    </row>
    <row r="11" spans="1:6">
      <c r="A11" s="1">
        <v>1.6</v>
      </c>
      <c r="B11" s="20"/>
      <c r="C11" s="26" t="s">
        <v>19</v>
      </c>
      <c r="D11" s="1"/>
    </row>
    <row r="12" spans="1:6" ht="33.6">
      <c r="A12" s="1">
        <v>1.7</v>
      </c>
      <c r="B12" s="20"/>
      <c r="C12" s="26" t="s">
        <v>20</v>
      </c>
      <c r="D12" s="1"/>
    </row>
    <row r="13" spans="1:6">
      <c r="A13" s="1">
        <v>1.8</v>
      </c>
      <c r="B13" s="20"/>
      <c r="C13" s="26" t="s">
        <v>21</v>
      </c>
      <c r="D13" s="1"/>
    </row>
    <row r="14" spans="1:6" ht="33.6">
      <c r="A14" s="10">
        <v>2</v>
      </c>
      <c r="B14" s="12" t="s">
        <v>22</v>
      </c>
      <c r="C14" s="12" t="s">
        <v>23</v>
      </c>
      <c r="D14" s="13"/>
    </row>
    <row r="15" spans="1:6" ht="67.2">
      <c r="A15" s="21">
        <v>2.1</v>
      </c>
      <c r="B15" s="26" t="s">
        <v>24</v>
      </c>
      <c r="C15" s="26" t="s">
        <v>25</v>
      </c>
      <c r="D15" s="26" t="s">
        <v>26</v>
      </c>
    </row>
    <row r="16" spans="1:6" ht="33.6">
      <c r="A16" s="21">
        <v>2.2000000000000002</v>
      </c>
      <c r="B16" s="26" t="s">
        <v>27</v>
      </c>
      <c r="C16" s="26" t="s">
        <v>28</v>
      </c>
      <c r="D16" s="3"/>
    </row>
    <row r="17" spans="1:4" ht="33.6">
      <c r="A17" s="21">
        <v>2.2999999999999998</v>
      </c>
      <c r="B17" s="26" t="s">
        <v>29</v>
      </c>
      <c r="C17" s="26" t="s">
        <v>30</v>
      </c>
      <c r="D17" s="3"/>
    </row>
    <row r="18" spans="1:4" ht="67.2">
      <c r="A18" s="21">
        <v>2.4</v>
      </c>
      <c r="B18" s="26" t="s">
        <v>31</v>
      </c>
      <c r="C18" s="26" t="s">
        <v>32</v>
      </c>
      <c r="D18" s="3"/>
    </row>
    <row r="19" spans="1:4" ht="50.4">
      <c r="A19" s="21">
        <v>2.5</v>
      </c>
      <c r="B19" s="26" t="s">
        <v>33</v>
      </c>
      <c r="C19" s="26" t="s">
        <v>34</v>
      </c>
      <c r="D19" s="3"/>
    </row>
    <row r="20" spans="1:4">
      <c r="A20" s="21">
        <v>2.6</v>
      </c>
      <c r="B20" s="20"/>
      <c r="C20" s="26" t="s">
        <v>35</v>
      </c>
      <c r="D20" s="3"/>
    </row>
    <row r="21" spans="1:4">
      <c r="A21" s="21">
        <v>2.7</v>
      </c>
      <c r="B21" s="20"/>
      <c r="C21" s="26" t="s">
        <v>36</v>
      </c>
      <c r="D21" s="3"/>
    </row>
    <row r="22" spans="1:4">
      <c r="A22" s="21">
        <v>2.8</v>
      </c>
      <c r="B22" s="20"/>
      <c r="C22" s="26" t="s">
        <v>37</v>
      </c>
      <c r="D22" s="3"/>
    </row>
    <row r="23" spans="1:4">
      <c r="A23" s="21">
        <v>2.9</v>
      </c>
      <c r="B23" s="20"/>
      <c r="C23" s="26" t="s">
        <v>38</v>
      </c>
      <c r="D23" s="3"/>
    </row>
    <row r="24" spans="1:4">
      <c r="A24" s="19">
        <v>2.1</v>
      </c>
      <c r="B24" s="20"/>
      <c r="C24" s="26" t="s">
        <v>39</v>
      </c>
      <c r="D24" s="3"/>
    </row>
    <row r="25" spans="1:4" ht="33.6">
      <c r="A25" s="19">
        <v>2.11</v>
      </c>
      <c r="B25" s="20"/>
      <c r="C25" s="26" t="s">
        <v>40</v>
      </c>
      <c r="D25" s="3"/>
    </row>
    <row r="26" spans="1:4">
      <c r="A26" s="19">
        <v>2.12</v>
      </c>
      <c r="B26" s="20"/>
      <c r="C26" s="26" t="s">
        <v>41</v>
      </c>
      <c r="D26" s="3"/>
    </row>
    <row r="27" spans="1:4" ht="33.6">
      <c r="A27" s="15">
        <v>3</v>
      </c>
      <c r="B27" s="16" t="s">
        <v>42</v>
      </c>
      <c r="C27" s="17" t="s">
        <v>43</v>
      </c>
      <c r="D27" s="15"/>
    </row>
    <row r="28" spans="1:4" ht="50.4">
      <c r="A28" s="1">
        <v>3.1</v>
      </c>
      <c r="B28" s="26" t="s">
        <v>44</v>
      </c>
      <c r="C28" s="26" t="s">
        <v>45</v>
      </c>
      <c r="D28" s="3"/>
    </row>
    <row r="29" spans="1:4" ht="33.6">
      <c r="A29" s="1">
        <v>3.2</v>
      </c>
      <c r="B29" s="26" t="s">
        <v>46</v>
      </c>
      <c r="C29" s="26" t="s">
        <v>47</v>
      </c>
      <c r="D29" s="3"/>
    </row>
    <row r="30" spans="1:4" ht="50.4">
      <c r="A30" s="1">
        <v>3.3</v>
      </c>
      <c r="B30" s="26" t="s">
        <v>48</v>
      </c>
      <c r="C30" s="26" t="s">
        <v>49</v>
      </c>
      <c r="D30" s="3"/>
    </row>
    <row r="31" spans="1:4" ht="33.6">
      <c r="A31" s="1">
        <v>3.4</v>
      </c>
      <c r="B31" s="26" t="s">
        <v>50</v>
      </c>
      <c r="C31" s="26" t="s">
        <v>51</v>
      </c>
      <c r="D31" s="3"/>
    </row>
    <row r="32" spans="1:4" ht="33.6">
      <c r="A32" s="1">
        <v>3.5</v>
      </c>
      <c r="B32" s="26" t="s">
        <v>52</v>
      </c>
      <c r="C32" s="26" t="s">
        <v>53</v>
      </c>
      <c r="D32" s="3"/>
    </row>
    <row r="33" spans="1:4" ht="33.6">
      <c r="A33" s="1">
        <v>3.6</v>
      </c>
      <c r="B33" s="26" t="s">
        <v>54</v>
      </c>
      <c r="C33" s="28" t="s">
        <v>55</v>
      </c>
      <c r="D33" s="3"/>
    </row>
    <row r="34" spans="1:4" ht="33.6">
      <c r="A34" s="1">
        <v>3.7</v>
      </c>
      <c r="B34" s="6" t="s">
        <v>56</v>
      </c>
      <c r="C34" s="26" t="s">
        <v>57</v>
      </c>
      <c r="D34" s="3"/>
    </row>
    <row r="35" spans="1:4" ht="33.6">
      <c r="A35" s="1">
        <v>3.8</v>
      </c>
      <c r="B35" s="20"/>
      <c r="C35" s="26" t="s">
        <v>58</v>
      </c>
      <c r="D35" s="3"/>
    </row>
    <row r="36" spans="1:4" ht="33.6">
      <c r="A36" s="1">
        <v>3.9</v>
      </c>
      <c r="B36" s="20"/>
      <c r="C36" s="26" t="s">
        <v>59</v>
      </c>
      <c r="D36" s="3"/>
    </row>
    <row r="37" spans="1:4" ht="100.8">
      <c r="A37" s="19">
        <v>3.1</v>
      </c>
      <c r="B37" s="20"/>
      <c r="C37" s="26" t="s">
        <v>60</v>
      </c>
      <c r="D37" s="4" t="s">
        <v>61</v>
      </c>
    </row>
    <row r="38" spans="1:4">
      <c r="A38" s="1">
        <v>3.11</v>
      </c>
      <c r="B38" s="20"/>
      <c r="C38" s="26" t="s">
        <v>62</v>
      </c>
      <c r="D38" s="3"/>
    </row>
    <row r="39" spans="1:4">
      <c r="A39" s="1">
        <v>3.12</v>
      </c>
      <c r="B39" s="20"/>
      <c r="C39" s="26" t="s">
        <v>63</v>
      </c>
      <c r="D39" s="3"/>
    </row>
    <row r="40" spans="1:4">
      <c r="A40" s="1">
        <v>3.13</v>
      </c>
      <c r="B40" s="20"/>
      <c r="C40" s="26" t="s">
        <v>64</v>
      </c>
      <c r="D40" s="3"/>
    </row>
    <row r="41" spans="1:4" ht="50.4">
      <c r="A41" s="1">
        <v>3.14</v>
      </c>
      <c r="B41" s="20"/>
      <c r="C41" s="26" t="s">
        <v>65</v>
      </c>
      <c r="D41" s="3"/>
    </row>
    <row r="42" spans="1:4" ht="36">
      <c r="A42" s="1">
        <v>3.15</v>
      </c>
      <c r="B42" s="20"/>
      <c r="C42" s="26" t="s">
        <v>66</v>
      </c>
      <c r="D42" s="5" t="s">
        <v>67</v>
      </c>
    </row>
    <row r="43" spans="1:4" ht="36">
      <c r="A43" s="1">
        <v>3.16</v>
      </c>
      <c r="B43" s="20"/>
      <c r="C43" s="26" t="s">
        <v>68</v>
      </c>
      <c r="D43" s="5" t="s">
        <v>67</v>
      </c>
    </row>
    <row r="44" spans="1:4" ht="33.6">
      <c r="A44" s="10">
        <v>4</v>
      </c>
      <c r="B44" s="12" t="s">
        <v>69</v>
      </c>
      <c r="C44" s="12" t="s">
        <v>70</v>
      </c>
      <c r="D44" s="13"/>
    </row>
    <row r="45" spans="1:4" ht="50.4">
      <c r="A45" s="1">
        <v>4.0999999999999996</v>
      </c>
      <c r="B45" s="26" t="s">
        <v>71</v>
      </c>
      <c r="C45" s="26" t="s">
        <v>72</v>
      </c>
      <c r="D45" s="3"/>
    </row>
    <row r="46" spans="1:4" ht="33.6">
      <c r="A46" s="1">
        <v>4.2</v>
      </c>
      <c r="B46" s="26" t="s">
        <v>73</v>
      </c>
      <c r="C46" s="26" t="s">
        <v>74</v>
      </c>
      <c r="D46" s="3"/>
    </row>
    <row r="47" spans="1:4" ht="50.4">
      <c r="A47" s="1">
        <v>4.3</v>
      </c>
      <c r="B47" s="26" t="s">
        <v>75</v>
      </c>
      <c r="C47" s="26" t="s">
        <v>76</v>
      </c>
      <c r="D47" s="3"/>
    </row>
    <row r="48" spans="1:4" ht="33.6">
      <c r="A48" s="1">
        <v>4.4000000000000004</v>
      </c>
      <c r="B48" s="26" t="s">
        <v>77</v>
      </c>
      <c r="C48" s="26" t="s">
        <v>78</v>
      </c>
      <c r="D48" s="3"/>
    </row>
    <row r="49" spans="1:4" ht="33.6">
      <c r="A49" s="1">
        <v>4.5</v>
      </c>
      <c r="B49" s="26" t="s">
        <v>79</v>
      </c>
      <c r="C49" s="26" t="s">
        <v>80</v>
      </c>
      <c r="D49" s="3"/>
    </row>
    <row r="50" spans="1:4" ht="33.6">
      <c r="A50" s="1">
        <v>4.5999999999999996</v>
      </c>
      <c r="B50" s="26" t="s">
        <v>81</v>
      </c>
      <c r="C50" s="26" t="s">
        <v>82</v>
      </c>
      <c r="D50" s="3"/>
    </row>
    <row r="51" spans="1:4">
      <c r="A51" s="1">
        <v>4.7</v>
      </c>
      <c r="B51" s="20"/>
      <c r="C51" s="26" t="s">
        <v>83</v>
      </c>
      <c r="D51" s="3"/>
    </row>
    <row r="52" spans="1:4">
      <c r="A52" s="1">
        <v>4.8</v>
      </c>
      <c r="B52" s="20"/>
      <c r="C52" s="26" t="s">
        <v>84</v>
      </c>
      <c r="D52" s="3"/>
    </row>
    <row r="53" spans="1:4">
      <c r="A53" s="1">
        <v>4.9000000000000004</v>
      </c>
      <c r="B53" s="20"/>
      <c r="C53" s="26" t="s">
        <v>85</v>
      </c>
      <c r="D53" s="3"/>
    </row>
    <row r="54" spans="1:4">
      <c r="A54" s="1">
        <v>4.0999999999999996</v>
      </c>
      <c r="B54" s="20"/>
      <c r="C54" s="26" t="s">
        <v>86</v>
      </c>
      <c r="D54" s="3"/>
    </row>
    <row r="55" spans="1:4" ht="33.6">
      <c r="A55" s="1">
        <v>4.1100000000000003</v>
      </c>
      <c r="B55" s="20"/>
      <c r="C55" s="26" t="s">
        <v>87</v>
      </c>
      <c r="D55" s="3"/>
    </row>
    <row r="56" spans="1:4" ht="33.6">
      <c r="A56" s="1">
        <v>4.12</v>
      </c>
      <c r="B56" s="20"/>
      <c r="C56" s="26" t="s">
        <v>88</v>
      </c>
      <c r="D56" s="3"/>
    </row>
    <row r="57" spans="1:4" ht="50.4">
      <c r="A57" s="1">
        <v>4.13</v>
      </c>
      <c r="B57" s="20"/>
      <c r="C57" s="26" t="s">
        <v>89</v>
      </c>
      <c r="D57" s="3"/>
    </row>
    <row r="58" spans="1:4" ht="50.4">
      <c r="A58" s="1">
        <v>4.1399999999999997</v>
      </c>
      <c r="B58" s="20"/>
      <c r="C58" s="26" t="s">
        <v>90</v>
      </c>
      <c r="D58" s="3"/>
    </row>
    <row r="59" spans="1:4" ht="33.6">
      <c r="A59" s="1">
        <v>4.1500000000000004</v>
      </c>
      <c r="B59" s="20"/>
      <c r="C59" s="26" t="s">
        <v>91</v>
      </c>
      <c r="D59" s="3"/>
    </row>
    <row r="60" spans="1:4" ht="33.6">
      <c r="A60" s="10">
        <v>5</v>
      </c>
      <c r="B60" s="12" t="s">
        <v>92</v>
      </c>
      <c r="C60" s="12" t="s">
        <v>93</v>
      </c>
      <c r="D60" s="13"/>
    </row>
    <row r="61" spans="1:4" ht="50.4">
      <c r="A61" s="1">
        <v>5.0999999999999996</v>
      </c>
      <c r="B61" s="26" t="s">
        <v>94</v>
      </c>
      <c r="C61" s="26" t="s">
        <v>95</v>
      </c>
      <c r="D61" s="3"/>
    </row>
    <row r="62" spans="1:4" ht="50.4">
      <c r="A62" s="1">
        <v>5.2</v>
      </c>
      <c r="B62" s="26" t="s">
        <v>96</v>
      </c>
      <c r="C62" s="26" t="s">
        <v>97</v>
      </c>
      <c r="D62" s="3"/>
    </row>
    <row r="63" spans="1:4" ht="50.4">
      <c r="A63" s="1">
        <v>5.3</v>
      </c>
      <c r="B63" s="26" t="s">
        <v>98</v>
      </c>
      <c r="C63" s="26" t="s">
        <v>99</v>
      </c>
      <c r="D63" s="3"/>
    </row>
    <row r="64" spans="1:4" ht="33.6">
      <c r="A64" s="1">
        <v>5.4</v>
      </c>
      <c r="B64" s="26" t="s">
        <v>81</v>
      </c>
      <c r="C64" s="26" t="s">
        <v>100</v>
      </c>
      <c r="D64" s="3"/>
    </row>
    <row r="65" spans="1:5" ht="50.4">
      <c r="A65" s="1">
        <v>5.5</v>
      </c>
      <c r="B65" s="22"/>
      <c r="C65" s="26" t="s">
        <v>101</v>
      </c>
      <c r="D65" s="3"/>
    </row>
    <row r="66" spans="1:5" ht="33.6">
      <c r="A66" s="1">
        <v>5.6</v>
      </c>
      <c r="B66" s="20"/>
      <c r="C66" s="26" t="s">
        <v>102</v>
      </c>
      <c r="D66" s="3"/>
    </row>
    <row r="67" spans="1:5" ht="33.6">
      <c r="A67" s="10">
        <v>6</v>
      </c>
      <c r="B67" s="12" t="s">
        <v>103</v>
      </c>
      <c r="C67" s="12" t="s">
        <v>104</v>
      </c>
      <c r="D67" s="13"/>
    </row>
    <row r="68" spans="1:5" ht="33.6">
      <c r="A68" s="1">
        <v>6.1</v>
      </c>
      <c r="B68" s="26" t="s">
        <v>105</v>
      </c>
      <c r="C68" s="26" t="s">
        <v>106</v>
      </c>
      <c r="D68" s="3"/>
    </row>
    <row r="69" spans="1:5" ht="33.6">
      <c r="A69" s="1">
        <v>6.2</v>
      </c>
      <c r="B69" s="26" t="s">
        <v>107</v>
      </c>
      <c r="C69" s="26" t="s">
        <v>108</v>
      </c>
      <c r="D69" s="3"/>
    </row>
    <row r="70" spans="1:5" ht="33.6">
      <c r="A70" s="1">
        <v>6.3</v>
      </c>
      <c r="B70" s="20"/>
      <c r="C70" s="26" t="s">
        <v>109</v>
      </c>
      <c r="D70" s="3"/>
    </row>
    <row r="71" spans="1:5" ht="33.6">
      <c r="A71" s="1">
        <v>6.4</v>
      </c>
      <c r="B71" s="20"/>
      <c r="C71" s="26" t="s">
        <v>110</v>
      </c>
      <c r="D71" s="3"/>
    </row>
    <row r="72" spans="1:5" ht="50.4">
      <c r="A72" s="1">
        <v>6.5</v>
      </c>
      <c r="B72" s="20"/>
      <c r="C72" s="26" t="s">
        <v>111</v>
      </c>
      <c r="D72" s="3"/>
    </row>
    <row r="73" spans="1:5">
      <c r="A73" s="1">
        <v>6.6</v>
      </c>
      <c r="B73" s="20"/>
      <c r="C73" s="26" t="s">
        <v>112</v>
      </c>
      <c r="D73" s="3"/>
    </row>
    <row r="74" spans="1:5">
      <c r="A74" s="1">
        <v>6.7</v>
      </c>
      <c r="B74" s="20"/>
      <c r="C74" s="7" t="s">
        <v>113</v>
      </c>
      <c r="D74" s="3"/>
    </row>
    <row r="75" spans="1:5" ht="25.35" customHeight="1">
      <c r="A75" s="10">
        <v>7</v>
      </c>
      <c r="B75" s="23" t="s">
        <v>114</v>
      </c>
      <c r="C75" s="24"/>
      <c r="D75" s="14"/>
      <c r="E75" s="25"/>
    </row>
    <row r="76" spans="1:5" ht="40.35" customHeight="1">
      <c r="A76" s="1">
        <v>7.1</v>
      </c>
      <c r="B76" s="51" t="s">
        <v>115</v>
      </c>
      <c r="C76" s="52"/>
      <c r="D76" s="3"/>
    </row>
    <row r="77" spans="1:5" ht="43.35" customHeight="1">
      <c r="A77" s="1">
        <v>7.2</v>
      </c>
      <c r="B77" s="53" t="s">
        <v>116</v>
      </c>
      <c r="C77" s="54"/>
      <c r="D77" s="3"/>
    </row>
    <row r="78" spans="1:5" ht="75.599999999999994" customHeight="1">
      <c r="A78" s="1">
        <v>7.3</v>
      </c>
      <c r="B78" s="53" t="s">
        <v>117</v>
      </c>
      <c r="C78" s="54"/>
      <c r="D78" s="3"/>
    </row>
    <row r="79" spans="1:5" ht="56.4" customHeight="1">
      <c r="A79" s="1">
        <v>7.4</v>
      </c>
      <c r="B79" s="53" t="s">
        <v>118</v>
      </c>
      <c r="C79" s="54"/>
      <c r="D79" s="3"/>
    </row>
  </sheetData>
  <mergeCells count="6">
    <mergeCell ref="A2:D2"/>
    <mergeCell ref="B76:C76"/>
    <mergeCell ref="B77:C77"/>
    <mergeCell ref="B78:C78"/>
    <mergeCell ref="B79:C79"/>
    <mergeCell ref="A3:D3"/>
  </mergeCells>
  <pageMargins left="0.63" right="0.22" top="0.27" bottom="0.28999999999999998" header="0.21" footer="0.17"/>
  <pageSetup paperSize="9"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86F5F-B353-426F-B60A-74EB4374F444}">
  <dimension ref="A1:J47"/>
  <sheetViews>
    <sheetView tabSelected="1" view="pageBreakPreview" topLeftCell="A39" zoomScale="85" zoomScaleNormal="55" zoomScaleSheetLayoutView="85" workbookViewId="0">
      <selection activeCell="I52" sqref="I52"/>
    </sheetView>
  </sheetViews>
  <sheetFormatPr defaultColWidth="8.6640625" defaultRowHeight="18"/>
  <cols>
    <col min="1" max="1" width="6.6640625" style="18" customWidth="1"/>
    <col min="2" max="2" width="34.6640625" style="2" customWidth="1"/>
    <col min="3" max="3" width="10.6640625" style="2" customWidth="1"/>
    <col min="4" max="4" width="41.88671875" style="2" customWidth="1"/>
    <col min="5" max="5" width="14" style="47" customWidth="1"/>
    <col min="6" max="6" width="41.33203125" style="2" customWidth="1"/>
    <col min="7" max="7" width="12.109375" style="45" bestFit="1" customWidth="1"/>
    <col min="8" max="8" width="14.44140625" style="45" customWidth="1"/>
    <col min="9" max="9" width="15.6640625" style="2" customWidth="1"/>
    <col min="10" max="10" width="38.88671875" style="38" customWidth="1"/>
    <col min="11" max="16384" width="8.6640625" style="2"/>
  </cols>
  <sheetData>
    <row r="1" spans="1:10" s="31" customFormat="1" ht="29.1" customHeight="1">
      <c r="A1" s="29" t="s">
        <v>3</v>
      </c>
      <c r="B1" s="29" t="s">
        <v>119</v>
      </c>
      <c r="C1" s="29" t="s">
        <v>120</v>
      </c>
      <c r="D1" s="29" t="s">
        <v>121</v>
      </c>
      <c r="E1" s="30" t="s">
        <v>122</v>
      </c>
      <c r="F1" s="1" t="s">
        <v>123</v>
      </c>
      <c r="G1" s="29" t="s">
        <v>124</v>
      </c>
      <c r="H1" s="29" t="s">
        <v>125</v>
      </c>
      <c r="I1" s="29" t="s">
        <v>126</v>
      </c>
      <c r="J1" s="46" t="s">
        <v>127</v>
      </c>
    </row>
    <row r="2" spans="1:10" s="38" customFormat="1">
      <c r="A2" s="32">
        <v>1</v>
      </c>
      <c r="B2" s="33" t="s">
        <v>129</v>
      </c>
      <c r="C2" s="34" t="s">
        <v>130</v>
      </c>
      <c r="D2" s="35"/>
      <c r="E2" s="39"/>
      <c r="F2" s="36"/>
      <c r="G2" s="39"/>
      <c r="H2" s="39">
        <f>80+E2-G2</f>
        <v>80</v>
      </c>
      <c r="I2" s="39" t="str">
        <f>IF(H2&gt;=80,"TỐT",IF(AND(H2&gt;=65,H2&lt;80),"KHÁ",IF(AND(H2&gt;=50,H2&lt;65),"ĐẠT","CHƯA ĐẠT")))</f>
        <v>TỐT</v>
      </c>
      <c r="J2" s="37"/>
    </row>
    <row r="3" spans="1:10">
      <c r="A3" s="39">
        <v>2</v>
      </c>
      <c r="B3" s="33" t="s">
        <v>131</v>
      </c>
      <c r="C3" s="34" t="s">
        <v>130</v>
      </c>
      <c r="D3" s="35"/>
      <c r="E3" s="39"/>
      <c r="F3" s="40"/>
      <c r="G3" s="39"/>
      <c r="H3" s="39">
        <f t="shared" ref="H3:H42" si="0">80+E3-G3</f>
        <v>80</v>
      </c>
      <c r="I3" s="39" t="str">
        <f t="shared" ref="I3:I42" si="1">IF(H3&gt;=80,"TỐT",IF(AND(H3&gt;=65,H3&lt;80),"KHÁ",IF(AND(H3&gt;=50,H3&lt;65),"ĐẠT","CHƯA ĐẠT")))</f>
        <v>TỐT</v>
      </c>
      <c r="J3" s="37"/>
    </row>
    <row r="4" spans="1:10">
      <c r="A4" s="39">
        <v>3</v>
      </c>
      <c r="B4" s="33" t="s">
        <v>132</v>
      </c>
      <c r="C4" s="34" t="s">
        <v>130</v>
      </c>
      <c r="D4" s="35"/>
      <c r="E4" s="39"/>
      <c r="F4" s="40"/>
      <c r="G4" s="39"/>
      <c r="H4" s="39">
        <f t="shared" si="0"/>
        <v>80</v>
      </c>
      <c r="I4" s="39" t="str">
        <f t="shared" si="1"/>
        <v>TỐT</v>
      </c>
      <c r="J4" s="37"/>
    </row>
    <row r="5" spans="1:10">
      <c r="A5" s="32">
        <v>4</v>
      </c>
      <c r="B5" s="33" t="s">
        <v>133</v>
      </c>
      <c r="C5" s="34" t="s">
        <v>130</v>
      </c>
      <c r="D5" s="35"/>
      <c r="E5" s="39"/>
      <c r="F5" s="42"/>
      <c r="G5" s="39"/>
      <c r="H5" s="39">
        <f t="shared" si="0"/>
        <v>80</v>
      </c>
      <c r="I5" s="39" t="str">
        <f t="shared" si="1"/>
        <v>TỐT</v>
      </c>
      <c r="J5" s="37"/>
    </row>
    <row r="6" spans="1:10">
      <c r="A6" s="39">
        <v>5</v>
      </c>
      <c r="B6" s="33" t="s">
        <v>134</v>
      </c>
      <c r="C6" s="34" t="s">
        <v>130</v>
      </c>
      <c r="D6" s="35"/>
      <c r="E6" s="39"/>
      <c r="F6" s="40"/>
      <c r="G6" s="39"/>
      <c r="H6" s="39">
        <f t="shared" si="0"/>
        <v>80</v>
      </c>
      <c r="I6" s="39" t="str">
        <f t="shared" si="1"/>
        <v>TỐT</v>
      </c>
      <c r="J6" s="37"/>
    </row>
    <row r="7" spans="1:10">
      <c r="A7" s="39">
        <v>6</v>
      </c>
      <c r="B7" s="33" t="s">
        <v>135</v>
      </c>
      <c r="C7" s="34" t="s">
        <v>130</v>
      </c>
      <c r="D7" s="35"/>
      <c r="E7" s="39"/>
      <c r="F7" s="42"/>
      <c r="G7" s="39"/>
      <c r="H7" s="39">
        <f t="shared" si="0"/>
        <v>80</v>
      </c>
      <c r="I7" s="39" t="str">
        <f t="shared" si="1"/>
        <v>TỐT</v>
      </c>
      <c r="J7" s="37"/>
    </row>
    <row r="8" spans="1:10">
      <c r="A8" s="32">
        <v>7</v>
      </c>
      <c r="B8" s="33" t="s">
        <v>136</v>
      </c>
      <c r="C8" s="34" t="s">
        <v>130</v>
      </c>
      <c r="D8" s="35"/>
      <c r="E8" s="39"/>
      <c r="F8" s="43"/>
      <c r="G8" s="39"/>
      <c r="H8" s="39">
        <f t="shared" si="0"/>
        <v>80</v>
      </c>
      <c r="I8" s="39" t="str">
        <f t="shared" si="1"/>
        <v>TỐT</v>
      </c>
      <c r="J8" s="37"/>
    </row>
    <row r="9" spans="1:10">
      <c r="A9" s="39">
        <v>8</v>
      </c>
      <c r="B9" s="33" t="s">
        <v>137</v>
      </c>
      <c r="C9" s="34" t="s">
        <v>130</v>
      </c>
      <c r="D9" s="35"/>
      <c r="E9" s="39"/>
      <c r="F9" s="40"/>
      <c r="G9" s="39"/>
      <c r="H9" s="39">
        <f t="shared" si="0"/>
        <v>80</v>
      </c>
      <c r="I9" s="39" t="str">
        <f t="shared" si="1"/>
        <v>TỐT</v>
      </c>
      <c r="J9" s="37"/>
    </row>
    <row r="10" spans="1:10">
      <c r="A10" s="39">
        <v>9</v>
      </c>
      <c r="B10" s="33" t="s">
        <v>138</v>
      </c>
      <c r="C10" s="34" t="s">
        <v>130</v>
      </c>
      <c r="D10" s="35"/>
      <c r="E10" s="39"/>
      <c r="F10" s="43"/>
      <c r="G10" s="39"/>
      <c r="H10" s="39">
        <f t="shared" si="0"/>
        <v>80</v>
      </c>
      <c r="I10" s="39" t="str">
        <f t="shared" si="1"/>
        <v>TỐT</v>
      </c>
      <c r="J10" s="37"/>
    </row>
    <row r="11" spans="1:10">
      <c r="A11" s="32">
        <v>10</v>
      </c>
      <c r="B11" s="33" t="s">
        <v>139</v>
      </c>
      <c r="C11" s="34" t="s">
        <v>130</v>
      </c>
      <c r="D11" s="35"/>
      <c r="E11" s="39"/>
      <c r="F11" s="40"/>
      <c r="G11" s="39"/>
      <c r="H11" s="39">
        <f t="shared" si="0"/>
        <v>80</v>
      </c>
      <c r="I11" s="39" t="str">
        <f t="shared" si="1"/>
        <v>TỐT</v>
      </c>
      <c r="J11" s="37"/>
    </row>
    <row r="12" spans="1:10">
      <c r="A12" s="39">
        <v>11</v>
      </c>
      <c r="B12" s="33" t="s">
        <v>140</v>
      </c>
      <c r="C12" s="34" t="s">
        <v>130</v>
      </c>
      <c r="D12" s="35"/>
      <c r="E12" s="39"/>
      <c r="F12" s="40"/>
      <c r="G12" s="39"/>
      <c r="H12" s="39">
        <f t="shared" si="0"/>
        <v>80</v>
      </c>
      <c r="I12" s="39" t="str">
        <f t="shared" si="1"/>
        <v>TỐT</v>
      </c>
      <c r="J12" s="37"/>
    </row>
    <row r="13" spans="1:10">
      <c r="A13" s="39">
        <v>12</v>
      </c>
      <c r="B13" s="33" t="s">
        <v>141</v>
      </c>
      <c r="C13" s="34" t="s">
        <v>130</v>
      </c>
      <c r="D13" s="35"/>
      <c r="E13" s="39"/>
      <c r="F13" s="40"/>
      <c r="G13" s="39"/>
      <c r="H13" s="39">
        <f t="shared" si="0"/>
        <v>80</v>
      </c>
      <c r="I13" s="39" t="str">
        <f t="shared" si="1"/>
        <v>TỐT</v>
      </c>
      <c r="J13" s="37"/>
    </row>
    <row r="14" spans="1:10">
      <c r="A14" s="32">
        <v>13</v>
      </c>
      <c r="B14" s="33" t="s">
        <v>142</v>
      </c>
      <c r="C14" s="34" t="s">
        <v>130</v>
      </c>
      <c r="D14" s="35"/>
      <c r="E14" s="39"/>
      <c r="F14" s="40"/>
      <c r="G14" s="39"/>
      <c r="H14" s="39">
        <f t="shared" si="0"/>
        <v>80</v>
      </c>
      <c r="I14" s="39" t="str">
        <f t="shared" si="1"/>
        <v>TỐT</v>
      </c>
      <c r="J14" s="37"/>
    </row>
    <row r="15" spans="1:10">
      <c r="A15" s="39">
        <v>14</v>
      </c>
      <c r="B15" s="33" t="s">
        <v>143</v>
      </c>
      <c r="C15" s="34" t="s">
        <v>130</v>
      </c>
      <c r="D15" s="35"/>
      <c r="E15" s="39"/>
      <c r="F15" s="40"/>
      <c r="G15" s="39"/>
      <c r="H15" s="39">
        <f t="shared" si="0"/>
        <v>80</v>
      </c>
      <c r="I15" s="39" t="str">
        <f t="shared" si="1"/>
        <v>TỐT</v>
      </c>
      <c r="J15" s="37"/>
    </row>
    <row r="16" spans="1:10">
      <c r="A16" s="39">
        <v>15</v>
      </c>
      <c r="B16" s="33" t="s">
        <v>144</v>
      </c>
      <c r="C16" s="34" t="s">
        <v>130</v>
      </c>
      <c r="D16" s="35"/>
      <c r="E16" s="39"/>
      <c r="F16" s="43"/>
      <c r="G16" s="39"/>
      <c r="H16" s="39">
        <f t="shared" si="0"/>
        <v>80</v>
      </c>
      <c r="I16" s="39" t="str">
        <f t="shared" si="1"/>
        <v>TỐT</v>
      </c>
      <c r="J16" s="37"/>
    </row>
    <row r="17" spans="1:10">
      <c r="A17" s="32">
        <v>16</v>
      </c>
      <c r="B17" s="33" t="s">
        <v>145</v>
      </c>
      <c r="C17" s="34" t="s">
        <v>130</v>
      </c>
      <c r="D17" s="35"/>
      <c r="E17" s="39"/>
      <c r="F17" s="40"/>
      <c r="G17" s="39"/>
      <c r="H17" s="39">
        <f t="shared" si="0"/>
        <v>80</v>
      </c>
      <c r="I17" s="39" t="str">
        <f t="shared" si="1"/>
        <v>TỐT</v>
      </c>
      <c r="J17" s="37"/>
    </row>
    <row r="18" spans="1:10">
      <c r="A18" s="39">
        <v>17</v>
      </c>
      <c r="B18" s="33" t="s">
        <v>146</v>
      </c>
      <c r="C18" s="34" t="s">
        <v>130</v>
      </c>
      <c r="D18" s="35"/>
      <c r="E18" s="39"/>
      <c r="F18" s="40"/>
      <c r="G18" s="39"/>
      <c r="H18" s="39">
        <f t="shared" si="0"/>
        <v>80</v>
      </c>
      <c r="I18" s="39" t="str">
        <f t="shared" si="1"/>
        <v>TỐT</v>
      </c>
      <c r="J18" s="37"/>
    </row>
    <row r="19" spans="1:10">
      <c r="A19" s="39">
        <v>18</v>
      </c>
      <c r="B19" s="33" t="s">
        <v>147</v>
      </c>
      <c r="C19" s="34" t="s">
        <v>130</v>
      </c>
      <c r="D19" s="35"/>
      <c r="E19" s="39"/>
      <c r="F19" s="44"/>
      <c r="G19" s="39"/>
      <c r="H19" s="39">
        <f t="shared" si="0"/>
        <v>80</v>
      </c>
      <c r="I19" s="39" t="str">
        <f t="shared" si="1"/>
        <v>TỐT</v>
      </c>
      <c r="J19" s="37"/>
    </row>
    <row r="20" spans="1:10">
      <c r="A20" s="32">
        <v>19</v>
      </c>
      <c r="B20" s="33" t="s">
        <v>148</v>
      </c>
      <c r="C20" s="34" t="s">
        <v>130</v>
      </c>
      <c r="D20" s="48"/>
      <c r="E20" s="39"/>
      <c r="F20" s="49"/>
      <c r="G20" s="39"/>
      <c r="H20" s="39">
        <f t="shared" si="0"/>
        <v>80</v>
      </c>
      <c r="I20" s="39" t="str">
        <f t="shared" si="1"/>
        <v>TỐT</v>
      </c>
      <c r="J20" s="37"/>
    </row>
    <row r="21" spans="1:10">
      <c r="A21" s="39">
        <v>20</v>
      </c>
      <c r="B21" s="33" t="s">
        <v>128</v>
      </c>
      <c r="C21" s="34" t="s">
        <v>130</v>
      </c>
      <c r="D21" s="41"/>
      <c r="E21" s="39"/>
      <c r="F21" s="40"/>
      <c r="G21" s="39"/>
      <c r="H21" s="39">
        <f t="shared" si="0"/>
        <v>80</v>
      </c>
      <c r="I21" s="39" t="str">
        <f t="shared" si="1"/>
        <v>TỐT</v>
      </c>
      <c r="J21" s="37"/>
    </row>
    <row r="22" spans="1:10">
      <c r="A22" s="39">
        <v>21</v>
      </c>
      <c r="B22" s="33" t="s">
        <v>149</v>
      </c>
      <c r="C22" s="34" t="s">
        <v>130</v>
      </c>
      <c r="D22" s="41"/>
      <c r="E22" s="39"/>
      <c r="F22" s="42"/>
      <c r="G22" s="39"/>
      <c r="H22" s="39">
        <f t="shared" si="0"/>
        <v>80</v>
      </c>
      <c r="I22" s="39" t="str">
        <f t="shared" si="1"/>
        <v>TỐT</v>
      </c>
      <c r="J22" s="37"/>
    </row>
    <row r="23" spans="1:10">
      <c r="A23" s="32">
        <v>22</v>
      </c>
      <c r="B23" s="33" t="s">
        <v>150</v>
      </c>
      <c r="C23" s="34" t="s">
        <v>130</v>
      </c>
      <c r="D23" s="41"/>
      <c r="E23" s="39"/>
      <c r="F23" s="43"/>
      <c r="G23" s="39"/>
      <c r="H23" s="39">
        <f t="shared" si="0"/>
        <v>80</v>
      </c>
      <c r="I23" s="39" t="str">
        <f t="shared" si="1"/>
        <v>TỐT</v>
      </c>
      <c r="J23" s="37"/>
    </row>
    <row r="24" spans="1:10">
      <c r="A24" s="39">
        <v>23</v>
      </c>
      <c r="B24" s="33" t="s">
        <v>151</v>
      </c>
      <c r="C24" s="34" t="s">
        <v>130</v>
      </c>
      <c r="D24" s="41"/>
      <c r="E24" s="39"/>
      <c r="F24" s="40"/>
      <c r="G24" s="39"/>
      <c r="H24" s="39">
        <f t="shared" si="0"/>
        <v>80</v>
      </c>
      <c r="I24" s="39" t="str">
        <f t="shared" si="1"/>
        <v>TỐT</v>
      </c>
      <c r="J24" s="37"/>
    </row>
    <row r="25" spans="1:10">
      <c r="A25" s="39">
        <v>24</v>
      </c>
      <c r="B25" s="33" t="s">
        <v>152</v>
      </c>
      <c r="C25" s="34" t="s">
        <v>130</v>
      </c>
      <c r="D25" s="41"/>
      <c r="E25" s="39"/>
      <c r="F25" s="40"/>
      <c r="G25" s="39"/>
      <c r="H25" s="39">
        <f t="shared" si="0"/>
        <v>80</v>
      </c>
      <c r="I25" s="39" t="str">
        <f t="shared" si="1"/>
        <v>TỐT</v>
      </c>
      <c r="J25" s="37"/>
    </row>
    <row r="26" spans="1:10">
      <c r="A26" s="32">
        <v>25</v>
      </c>
      <c r="B26" s="33" t="s">
        <v>153</v>
      </c>
      <c r="C26" s="34" t="s">
        <v>130</v>
      </c>
      <c r="D26" s="41"/>
      <c r="E26" s="39"/>
      <c r="F26" s="36"/>
      <c r="G26" s="39"/>
      <c r="H26" s="39">
        <f t="shared" si="0"/>
        <v>80</v>
      </c>
      <c r="I26" s="39" t="str">
        <f t="shared" si="1"/>
        <v>TỐT</v>
      </c>
      <c r="J26" s="37"/>
    </row>
    <row r="27" spans="1:10">
      <c r="A27" s="39">
        <v>26</v>
      </c>
      <c r="B27" s="33" t="s">
        <v>154</v>
      </c>
      <c r="C27" s="34" t="s">
        <v>130</v>
      </c>
      <c r="D27" s="41"/>
      <c r="E27" s="39"/>
      <c r="F27" s="43"/>
      <c r="G27" s="39"/>
      <c r="H27" s="39">
        <f t="shared" si="0"/>
        <v>80</v>
      </c>
      <c r="I27" s="39" t="str">
        <f t="shared" si="1"/>
        <v>TỐT</v>
      </c>
      <c r="J27" s="37"/>
    </row>
    <row r="28" spans="1:10">
      <c r="A28" s="39">
        <v>27</v>
      </c>
      <c r="B28" s="33" t="s">
        <v>155</v>
      </c>
      <c r="C28" s="34" t="s">
        <v>130</v>
      </c>
      <c r="D28" s="41"/>
      <c r="E28" s="39"/>
      <c r="F28" s="40"/>
      <c r="G28" s="39"/>
      <c r="H28" s="39">
        <f t="shared" si="0"/>
        <v>80</v>
      </c>
      <c r="I28" s="39" t="str">
        <f t="shared" si="1"/>
        <v>TỐT</v>
      </c>
      <c r="J28" s="37"/>
    </row>
    <row r="29" spans="1:10">
      <c r="A29" s="32">
        <v>28</v>
      </c>
      <c r="B29" s="33" t="s">
        <v>156</v>
      </c>
      <c r="C29" s="34" t="s">
        <v>130</v>
      </c>
      <c r="D29" s="41"/>
      <c r="E29" s="39"/>
      <c r="F29" s="40"/>
      <c r="G29" s="39"/>
      <c r="H29" s="39">
        <f t="shared" si="0"/>
        <v>80</v>
      </c>
      <c r="I29" s="39" t="str">
        <f t="shared" si="1"/>
        <v>TỐT</v>
      </c>
      <c r="J29" s="37"/>
    </row>
    <row r="30" spans="1:10">
      <c r="A30" s="39">
        <v>29</v>
      </c>
      <c r="B30" s="33" t="s">
        <v>157</v>
      </c>
      <c r="C30" s="34" t="s">
        <v>130</v>
      </c>
      <c r="D30" s="41"/>
      <c r="E30" s="39"/>
      <c r="F30" s="40"/>
      <c r="G30" s="39"/>
      <c r="H30" s="39">
        <f t="shared" si="0"/>
        <v>80</v>
      </c>
      <c r="I30" s="39" t="str">
        <f t="shared" si="1"/>
        <v>TỐT</v>
      </c>
      <c r="J30" s="37"/>
    </row>
    <row r="31" spans="1:10">
      <c r="A31" s="39">
        <v>30</v>
      </c>
      <c r="B31" s="33" t="s">
        <v>158</v>
      </c>
      <c r="C31" s="34" t="s">
        <v>130</v>
      </c>
      <c r="D31" s="41"/>
      <c r="E31" s="39"/>
      <c r="F31" s="43"/>
      <c r="G31" s="39"/>
      <c r="H31" s="39">
        <f t="shared" si="0"/>
        <v>80</v>
      </c>
      <c r="I31" s="39" t="str">
        <f t="shared" si="1"/>
        <v>TỐT</v>
      </c>
      <c r="J31" s="37"/>
    </row>
    <row r="32" spans="1:10">
      <c r="A32" s="32">
        <v>31</v>
      </c>
      <c r="B32" s="33" t="s">
        <v>159</v>
      </c>
      <c r="C32" s="34" t="s">
        <v>130</v>
      </c>
      <c r="D32" s="41"/>
      <c r="E32" s="39"/>
      <c r="F32" s="40"/>
      <c r="G32" s="39"/>
      <c r="H32" s="39">
        <f t="shared" si="0"/>
        <v>80</v>
      </c>
      <c r="I32" s="39" t="str">
        <f t="shared" si="1"/>
        <v>TỐT</v>
      </c>
      <c r="J32" s="37"/>
    </row>
    <row r="33" spans="1:10">
      <c r="A33" s="39">
        <v>32</v>
      </c>
      <c r="B33" s="33" t="s">
        <v>160</v>
      </c>
      <c r="C33" s="34" t="s">
        <v>130</v>
      </c>
      <c r="D33" s="41"/>
      <c r="E33" s="39"/>
      <c r="F33" s="40"/>
      <c r="G33" s="39"/>
      <c r="H33" s="39">
        <f t="shared" si="0"/>
        <v>80</v>
      </c>
      <c r="I33" s="39" t="str">
        <f t="shared" si="1"/>
        <v>TỐT</v>
      </c>
      <c r="J33" s="37"/>
    </row>
    <row r="34" spans="1:10">
      <c r="A34" s="39">
        <v>33</v>
      </c>
      <c r="B34" s="33" t="s">
        <v>161</v>
      </c>
      <c r="C34" s="34" t="s">
        <v>130</v>
      </c>
      <c r="D34" s="41"/>
      <c r="E34" s="39"/>
      <c r="F34" s="40"/>
      <c r="G34" s="39"/>
      <c r="H34" s="39">
        <f t="shared" si="0"/>
        <v>80</v>
      </c>
      <c r="I34" s="39" t="str">
        <f t="shared" si="1"/>
        <v>TỐT</v>
      </c>
      <c r="J34" s="37"/>
    </row>
    <row r="35" spans="1:10">
      <c r="A35" s="32">
        <v>34</v>
      </c>
      <c r="B35" s="33" t="s">
        <v>162</v>
      </c>
      <c r="C35" s="34" t="s">
        <v>130</v>
      </c>
      <c r="D35" s="41"/>
      <c r="E35" s="39"/>
      <c r="F35" s="40"/>
      <c r="G35" s="39"/>
      <c r="H35" s="39">
        <f t="shared" si="0"/>
        <v>80</v>
      </c>
      <c r="I35" s="39" t="str">
        <f t="shared" si="1"/>
        <v>TỐT</v>
      </c>
      <c r="J35" s="37"/>
    </row>
    <row r="36" spans="1:10">
      <c r="A36" s="39">
        <v>35</v>
      </c>
      <c r="B36" s="33" t="s">
        <v>163</v>
      </c>
      <c r="C36" s="34" t="s">
        <v>130</v>
      </c>
      <c r="D36" s="41"/>
      <c r="E36" s="39"/>
      <c r="F36" s="40"/>
      <c r="G36" s="39"/>
      <c r="H36" s="39">
        <f t="shared" si="0"/>
        <v>80</v>
      </c>
      <c r="I36" s="39" t="str">
        <f t="shared" si="1"/>
        <v>TỐT</v>
      </c>
      <c r="J36" s="37"/>
    </row>
    <row r="37" spans="1:10">
      <c r="A37" s="39">
        <v>36</v>
      </c>
      <c r="B37" s="33" t="s">
        <v>164</v>
      </c>
      <c r="C37" s="34" t="s">
        <v>130</v>
      </c>
      <c r="D37" s="41"/>
      <c r="E37" s="39"/>
      <c r="F37" s="36"/>
      <c r="G37" s="39"/>
      <c r="H37" s="39">
        <f t="shared" si="0"/>
        <v>80</v>
      </c>
      <c r="I37" s="39" t="str">
        <f t="shared" si="1"/>
        <v>TỐT</v>
      </c>
      <c r="J37" s="37"/>
    </row>
    <row r="38" spans="1:10">
      <c r="A38" s="32">
        <v>37</v>
      </c>
      <c r="B38" s="33" t="s">
        <v>165</v>
      </c>
      <c r="C38" s="34" t="s">
        <v>130</v>
      </c>
      <c r="D38" s="41"/>
      <c r="E38" s="39"/>
      <c r="F38" s="40"/>
      <c r="G38" s="39"/>
      <c r="H38" s="39">
        <f t="shared" si="0"/>
        <v>80</v>
      </c>
      <c r="I38" s="39" t="str">
        <f t="shared" si="1"/>
        <v>TỐT</v>
      </c>
      <c r="J38" s="37"/>
    </row>
    <row r="39" spans="1:10">
      <c r="A39" s="39">
        <v>38</v>
      </c>
      <c r="B39" s="33" t="s">
        <v>166</v>
      </c>
      <c r="C39" s="34" t="s">
        <v>130</v>
      </c>
      <c r="D39" s="41"/>
      <c r="E39" s="39"/>
      <c r="F39" s="40"/>
      <c r="G39" s="39"/>
      <c r="H39" s="39">
        <f t="shared" si="0"/>
        <v>80</v>
      </c>
      <c r="I39" s="39" t="str">
        <f t="shared" si="1"/>
        <v>TỐT</v>
      </c>
      <c r="J39" s="37"/>
    </row>
    <row r="40" spans="1:10">
      <c r="A40" s="39">
        <v>39</v>
      </c>
      <c r="B40" s="33" t="s">
        <v>167</v>
      </c>
      <c r="C40" s="34" t="s">
        <v>130</v>
      </c>
      <c r="D40" s="41"/>
      <c r="E40" s="39"/>
      <c r="F40" s="40"/>
      <c r="G40" s="39"/>
      <c r="H40" s="39">
        <f t="shared" si="0"/>
        <v>80</v>
      </c>
      <c r="I40" s="39" t="str">
        <f t="shared" si="1"/>
        <v>TỐT</v>
      </c>
      <c r="J40" s="37"/>
    </row>
    <row r="41" spans="1:10">
      <c r="A41" s="32">
        <v>40</v>
      </c>
      <c r="B41" s="33" t="s">
        <v>168</v>
      </c>
      <c r="C41" s="34" t="s">
        <v>130</v>
      </c>
      <c r="D41" s="41"/>
      <c r="E41" s="39"/>
      <c r="F41" s="40"/>
      <c r="G41" s="39"/>
      <c r="H41" s="39">
        <f t="shared" si="0"/>
        <v>80</v>
      </c>
      <c r="I41" s="39" t="str">
        <f t="shared" si="1"/>
        <v>TỐT</v>
      </c>
      <c r="J41" s="37"/>
    </row>
    <row r="42" spans="1:10">
      <c r="A42" s="39">
        <v>41</v>
      </c>
      <c r="B42" s="33" t="s">
        <v>169</v>
      </c>
      <c r="C42" s="34" t="s">
        <v>130</v>
      </c>
      <c r="D42" s="41"/>
      <c r="E42" s="39"/>
      <c r="F42" s="40"/>
      <c r="G42" s="39"/>
      <c r="H42" s="39">
        <f t="shared" si="0"/>
        <v>80</v>
      </c>
      <c r="I42" s="39" t="str">
        <f t="shared" si="1"/>
        <v>TỐT</v>
      </c>
      <c r="J42" s="37"/>
    </row>
    <row r="43" spans="1:10">
      <c r="A43" s="39">
        <v>42</v>
      </c>
      <c r="B43" s="33" t="s">
        <v>170</v>
      </c>
      <c r="C43" s="34" t="s">
        <v>130</v>
      </c>
      <c r="D43" s="41"/>
      <c r="E43" s="39"/>
      <c r="F43" s="40"/>
      <c r="G43" s="39"/>
      <c r="H43" s="39">
        <f t="shared" ref="H43:H47" si="2">80+E43-G43</f>
        <v>80</v>
      </c>
      <c r="I43" s="39" t="str">
        <f t="shared" ref="I43:I47" si="3">IF(H43&gt;=80,"TỐT",IF(AND(H43&gt;=65,H43&lt;80),"KHÁ",IF(AND(H43&gt;=50,H43&lt;65),"ĐẠT","CHƯA ĐẠT")))</f>
        <v>TỐT</v>
      </c>
      <c r="J43" s="37"/>
    </row>
    <row r="44" spans="1:10">
      <c r="A44" s="39">
        <v>43</v>
      </c>
      <c r="B44" s="33" t="s">
        <v>171</v>
      </c>
      <c r="C44" s="34" t="s">
        <v>130</v>
      </c>
      <c r="D44" s="41"/>
      <c r="E44" s="39"/>
      <c r="F44" s="40"/>
      <c r="G44" s="39"/>
      <c r="H44" s="39">
        <f t="shared" si="2"/>
        <v>80</v>
      </c>
      <c r="I44" s="39" t="str">
        <f t="shared" si="3"/>
        <v>TỐT</v>
      </c>
      <c r="J44" s="37"/>
    </row>
    <row r="45" spans="1:10">
      <c r="A45" s="39">
        <v>44</v>
      </c>
      <c r="B45" s="33" t="s">
        <v>172</v>
      </c>
      <c r="C45" s="34" t="s">
        <v>130</v>
      </c>
      <c r="D45" s="41"/>
      <c r="E45" s="39"/>
      <c r="F45" s="40"/>
      <c r="G45" s="39"/>
      <c r="H45" s="39">
        <f t="shared" si="2"/>
        <v>80</v>
      </c>
      <c r="I45" s="39" t="str">
        <f t="shared" si="3"/>
        <v>TỐT</v>
      </c>
      <c r="J45" s="37"/>
    </row>
    <row r="46" spans="1:10">
      <c r="A46" s="39">
        <v>45</v>
      </c>
      <c r="B46" s="33" t="s">
        <v>173</v>
      </c>
      <c r="C46" s="34" t="s">
        <v>130</v>
      </c>
      <c r="D46" s="41"/>
      <c r="E46" s="39"/>
      <c r="F46" s="40"/>
      <c r="G46" s="39"/>
      <c r="H46" s="39">
        <f t="shared" si="2"/>
        <v>80</v>
      </c>
      <c r="I46" s="39" t="str">
        <f t="shared" si="3"/>
        <v>TỐT</v>
      </c>
      <c r="J46" s="37"/>
    </row>
    <row r="47" spans="1:10">
      <c r="A47" s="39">
        <v>46</v>
      </c>
      <c r="B47" s="33" t="s">
        <v>174</v>
      </c>
      <c r="C47" s="34" t="s">
        <v>130</v>
      </c>
      <c r="D47" s="41"/>
      <c r="E47" s="39"/>
      <c r="F47" s="40"/>
      <c r="G47" s="39"/>
      <c r="H47" s="39">
        <f t="shared" si="2"/>
        <v>80</v>
      </c>
      <c r="I47" s="39" t="str">
        <f t="shared" si="3"/>
        <v>TỐT</v>
      </c>
      <c r="J47" s="37"/>
    </row>
  </sheetData>
  <phoneticPr fontId="11" type="noConversion"/>
  <conditionalFormatting sqref="I1:I1048576">
    <cfRule type="cellIs" dxfId="2" priority="1" operator="equal">
      <formula>"KHÁ"</formula>
    </cfRule>
    <cfRule type="cellIs" dxfId="1" priority="2" operator="lessThan">
      <formula>80</formula>
    </cfRule>
    <cfRule type="cellIs" dxfId="0" priority="3" operator="lessThan">
      <formula>80</formula>
    </cfRule>
  </conditionalFormatting>
  <pageMargins left="0.27" right="0.17" top="0.75" bottom="0.28000000000000003" header="0.3" footer="0.3"/>
  <pageSetup paperSize="9" scale="5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b404004-b851-44d8-8206-da54d8a56285" xsi:nil="true"/>
    <lcf76f155ced4ddcb4097134ff3c332f xmlns="de91156d-49d4-48cb-b02f-7369152eebe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AB44F6015323D4594C58D8A041719D2" ma:contentTypeVersion="17" ma:contentTypeDescription="Create a new document." ma:contentTypeScope="" ma:versionID="4ecfd4234d737f11f14c9cb98af4ef21">
  <xsd:schema xmlns:xsd="http://www.w3.org/2001/XMLSchema" xmlns:xs="http://www.w3.org/2001/XMLSchema" xmlns:p="http://schemas.microsoft.com/office/2006/metadata/properties" xmlns:ns2="de91156d-49d4-48cb-b02f-7369152eebe6" xmlns:ns3="9b404004-b851-44d8-8206-da54d8a56285" targetNamespace="http://schemas.microsoft.com/office/2006/metadata/properties" ma:root="true" ma:fieldsID="badbcec9eb645eabe8b70b4b3b257e64" ns2:_="" ns3:_="">
    <xsd:import namespace="de91156d-49d4-48cb-b02f-7369152eebe6"/>
    <xsd:import namespace="9b404004-b851-44d8-8206-da54d8a5628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MediaServiceObjectDetectorVersions" minOccurs="0"/>
                <xsd:element ref="ns2:lcf76f155ced4ddcb4097134ff3c332f" minOccurs="0"/>
                <xsd:element ref="ns3:TaxCatchAll"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91156d-49d4-48cb-b02f-7369152eeb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2fa9e97-da91-40e4-836f-ef150b6c8b84"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404004-b851-44d8-8206-da54d8a5628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7798489-9917-4439-a33d-44de0d1fd90b}" ma:internalName="TaxCatchAll" ma:showField="CatchAllData" ma:web="9b404004-b851-44d8-8206-da54d8a562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6C47F7-2B42-48F6-9FC1-D3A88216C105}">
  <ds:schemaRefs>
    <ds:schemaRef ds:uri="http://schemas.microsoft.com/sharepoint/v3/contenttype/forms"/>
  </ds:schemaRefs>
</ds:datastoreItem>
</file>

<file path=customXml/itemProps2.xml><?xml version="1.0" encoding="utf-8"?>
<ds:datastoreItem xmlns:ds="http://schemas.openxmlformats.org/officeDocument/2006/customXml" ds:itemID="{E9BAA121-68D0-49DC-8340-56FE9FD5970A}">
  <ds:schemaRefs>
    <ds:schemaRef ds:uri="http://schemas.microsoft.com/office/2006/metadata/properties"/>
    <ds:schemaRef ds:uri="http://schemas.microsoft.com/office/infopath/2007/PartnerControls"/>
    <ds:schemaRef ds:uri="9b404004-b851-44d8-8206-da54d8a56285"/>
    <ds:schemaRef ds:uri="de91156d-49d4-48cb-b02f-7369152eebe6"/>
  </ds:schemaRefs>
</ds:datastoreItem>
</file>

<file path=customXml/itemProps3.xml><?xml version="1.0" encoding="utf-8"?>
<ds:datastoreItem xmlns:ds="http://schemas.openxmlformats.org/officeDocument/2006/customXml" ds:itemID="{C3B59331-496D-414C-9855-82672EF190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91156d-49d4-48cb-b02f-7369152eebe6"/>
    <ds:schemaRef ds:uri="9b404004-b851-44d8-8206-da54d8a562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Tiêu chí HK tháng</vt:lpstr>
      <vt:lpstr>PHIẾU HK THÁNG 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Trần Thị Kim Tuyết</dc:creator>
  <cp:keywords/>
  <dc:description/>
  <cp:lastModifiedBy>Bùi Ngọc Tuyên_THPT Lê Quý Đôn - Long Bình Tân</cp:lastModifiedBy>
  <cp:revision/>
  <dcterms:created xsi:type="dcterms:W3CDTF">2021-02-26T02:10:19Z</dcterms:created>
  <dcterms:modified xsi:type="dcterms:W3CDTF">2026-10-05T13:25:11Z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0x0101007AB44F6015323D4594C58D8A041719D2</vt:lpwstr>
  </property>
  <property fmtid="{D5CDD505-2E9C-101B-9397-08002B2CF9AE}" pid="3" name="MediaServiceImageTags">
    <vt:lpwstr/>
  </property>
</Properties>
</file>